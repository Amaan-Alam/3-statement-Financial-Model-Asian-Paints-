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esktop\Finance Projects\Building 3-statement Financial Model\Excel\"/>
    </mc:Choice>
  </mc:AlternateContent>
  <xr:revisionPtr revIDLastSave="0" documentId="13_ncr:1_{41600527-8E55-43A1-A693-60FD261F0A2F}" xr6:coauthVersionLast="47" xr6:coauthVersionMax="47" xr10:uidLastSave="{00000000-0000-0000-0000-000000000000}"/>
  <bookViews>
    <workbookView xWindow="-120" yWindow="-120" windowWidth="23280" windowHeight="14880" tabRatio="636" activeTab="3" xr2:uid="{D9C7F186-5F7A-4D99-A450-054BC3278FC4}"/>
  </bookViews>
  <sheets>
    <sheet name="Cover Page" sheetId="7" r:id="rId1"/>
    <sheet name="Instructions" sheetId="9" r:id="rId2"/>
    <sheet name="Assumptions" sheetId="6" r:id="rId3"/>
    <sheet name="Balance Sheet &amp; Forecast" sheetId="2" r:id="rId4"/>
    <sheet name="Income Statement &amp; Forecast" sheetId="4" r:id="rId5"/>
    <sheet name="Cash Flow Statement &amp; Forecast" sheetId="5" r:id="rId6"/>
    <sheet name="Summary" sheetId="8" r:id="rId7"/>
    <sheet name="__tracelight_scratchpad__" sheetId="3" state="very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9" l="1"/>
  <c r="C28" i="9"/>
  <c r="C27" i="9"/>
  <c r="C26" i="9"/>
  <c r="C25" i="9"/>
  <c r="C24" i="9"/>
  <c r="C23" i="9"/>
  <c r="B7" i="7" l="1"/>
  <c r="C7" i="7"/>
  <c r="D7" i="7"/>
  <c r="E7" i="7"/>
  <c r="G7" i="7"/>
  <c r="C18" i="7"/>
  <c r="B22" i="7"/>
  <c r="B23" i="7"/>
  <c r="B24" i="7"/>
  <c r="B25" i="7"/>
  <c r="B26" i="7"/>
  <c r="B27" i="7"/>
  <c r="C10" i="7"/>
  <c r="E10" i="7"/>
  <c r="H86" i="8"/>
  <c r="I86" i="8"/>
  <c r="J86" i="8"/>
  <c r="K86" i="8"/>
  <c r="L86" i="8"/>
  <c r="C86" i="8"/>
  <c r="D86" i="8"/>
  <c r="E86" i="8"/>
  <c r="F86" i="8"/>
  <c r="G86" i="8"/>
  <c r="C85" i="8"/>
  <c r="D85" i="8"/>
  <c r="E85" i="8"/>
  <c r="F85" i="8"/>
  <c r="G85" i="8"/>
  <c r="H85" i="8"/>
  <c r="I85" i="8"/>
  <c r="J85" i="8"/>
  <c r="K85" i="8"/>
  <c r="L85" i="8"/>
  <c r="H84" i="8"/>
  <c r="I84" i="8"/>
  <c r="J84" i="8"/>
  <c r="K84" i="8"/>
  <c r="L84" i="8"/>
  <c r="C84" i="8"/>
  <c r="D84" i="8"/>
  <c r="E84" i="8"/>
  <c r="F84" i="8"/>
  <c r="G84" i="8"/>
  <c r="H83" i="8"/>
  <c r="I83" i="8"/>
  <c r="J83" i="8"/>
  <c r="K83" i="8"/>
  <c r="L83" i="8"/>
  <c r="C83" i="8"/>
  <c r="D83" i="8"/>
  <c r="E83" i="8"/>
  <c r="F83" i="8"/>
  <c r="G83" i="8"/>
  <c r="H82" i="8"/>
  <c r="I82" i="8"/>
  <c r="J82" i="8"/>
  <c r="K82" i="8"/>
  <c r="L82" i="8"/>
  <c r="C82" i="8"/>
  <c r="D82" i="8"/>
  <c r="E82" i="8"/>
  <c r="F82" i="8"/>
  <c r="G82" i="8"/>
  <c r="H81" i="8"/>
  <c r="I81" i="8"/>
  <c r="J81" i="8"/>
  <c r="K81" i="8"/>
  <c r="L81" i="8"/>
  <c r="C81" i="8"/>
  <c r="D81" i="8"/>
  <c r="E81" i="8"/>
  <c r="F81" i="8"/>
  <c r="G81" i="8"/>
  <c r="C80" i="8"/>
  <c r="D80" i="8"/>
  <c r="E80" i="8"/>
  <c r="F80" i="8"/>
  <c r="G80" i="8"/>
  <c r="H80" i="8"/>
  <c r="I80" i="8"/>
  <c r="J80" i="8"/>
  <c r="K80" i="8"/>
  <c r="L80" i="8"/>
  <c r="H79" i="8"/>
  <c r="I79" i="8"/>
  <c r="J79" i="8"/>
  <c r="K79" i="8"/>
  <c r="L79" i="8"/>
  <c r="C79" i="8"/>
  <c r="D79" i="8"/>
  <c r="E79" i="8"/>
  <c r="F79" i="8"/>
  <c r="G79" i="8"/>
  <c r="C78" i="8"/>
  <c r="D78" i="8"/>
  <c r="E78" i="8"/>
  <c r="F78" i="8"/>
  <c r="G78" i="8"/>
  <c r="H78" i="8"/>
  <c r="I78" i="8"/>
  <c r="J78" i="8"/>
  <c r="K78" i="8"/>
  <c r="L78" i="8"/>
  <c r="H77" i="8"/>
  <c r="I77" i="8"/>
  <c r="J77" i="8"/>
  <c r="K77" i="8"/>
  <c r="L77" i="8"/>
  <c r="C77" i="8"/>
  <c r="D77" i="8"/>
  <c r="E77" i="8"/>
  <c r="F77" i="8"/>
  <c r="G77" i="8"/>
  <c r="H76" i="8"/>
  <c r="I76" i="8"/>
  <c r="J76" i="8"/>
  <c r="K76" i="8"/>
  <c r="L76" i="8"/>
  <c r="C76" i="8"/>
  <c r="D76" i="8"/>
  <c r="E76" i="8"/>
  <c r="F76" i="8"/>
  <c r="G76" i="8"/>
  <c r="H75" i="8"/>
  <c r="I75" i="8"/>
  <c r="J75" i="8"/>
  <c r="K75" i="8"/>
  <c r="L75" i="8"/>
  <c r="C75" i="8"/>
  <c r="D75" i="8"/>
  <c r="E75" i="8"/>
  <c r="F75" i="8"/>
  <c r="G75" i="8"/>
  <c r="C72" i="8"/>
  <c r="I50" i="8"/>
  <c r="J50" i="8"/>
  <c r="K50" i="8"/>
  <c r="L50" i="8"/>
  <c r="M50" i="8"/>
  <c r="C50" i="8"/>
  <c r="D50" i="8"/>
  <c r="E50" i="8"/>
  <c r="F50" i="8"/>
  <c r="G50" i="8"/>
  <c r="I47" i="8"/>
  <c r="J47" i="8"/>
  <c r="K47" i="8"/>
  <c r="L47" i="8"/>
  <c r="M47" i="8"/>
  <c r="C47" i="8"/>
  <c r="D47" i="8"/>
  <c r="E47" i="8"/>
  <c r="F47" i="8"/>
  <c r="G47" i="8"/>
  <c r="I46" i="8"/>
  <c r="J46" i="8"/>
  <c r="K46" i="8"/>
  <c r="L46" i="8"/>
  <c r="M46" i="8"/>
  <c r="C46" i="8"/>
  <c r="D46" i="8"/>
  <c r="E46" i="8"/>
  <c r="F46" i="8"/>
  <c r="G46" i="8"/>
  <c r="I45" i="8"/>
  <c r="J45" i="8"/>
  <c r="K45" i="8"/>
  <c r="L45" i="8"/>
  <c r="M45" i="8"/>
  <c r="C45" i="8"/>
  <c r="D45" i="8"/>
  <c r="E45" i="8"/>
  <c r="F45" i="8"/>
  <c r="G45" i="8"/>
  <c r="I44" i="8"/>
  <c r="J44" i="8"/>
  <c r="K44" i="8"/>
  <c r="L44" i="8"/>
  <c r="M44" i="8"/>
  <c r="C44" i="8"/>
  <c r="D44" i="8"/>
  <c r="E44" i="8"/>
  <c r="F44" i="8"/>
  <c r="G44" i="8"/>
  <c r="B44" i="8"/>
  <c r="I41" i="8"/>
  <c r="J41" i="8"/>
  <c r="K41" i="8"/>
  <c r="L41" i="8"/>
  <c r="M41" i="8"/>
  <c r="C41" i="8"/>
  <c r="D41" i="8"/>
  <c r="E41" i="8"/>
  <c r="F41" i="8"/>
  <c r="G41" i="8"/>
  <c r="I40" i="8"/>
  <c r="J40" i="8"/>
  <c r="K40" i="8"/>
  <c r="L40" i="8"/>
  <c r="M40" i="8"/>
  <c r="C40" i="8"/>
  <c r="D40" i="8"/>
  <c r="E40" i="8"/>
  <c r="F40" i="8"/>
  <c r="G40" i="8"/>
  <c r="I39" i="8"/>
  <c r="J39" i="8"/>
  <c r="K39" i="8"/>
  <c r="L39" i="8"/>
  <c r="M39" i="8"/>
  <c r="C39" i="8"/>
  <c r="D39" i="8"/>
  <c r="E39" i="8"/>
  <c r="F39" i="8"/>
  <c r="G39" i="8"/>
  <c r="I38" i="8"/>
  <c r="J38" i="8"/>
  <c r="K38" i="8"/>
  <c r="L38" i="8"/>
  <c r="M38" i="8"/>
  <c r="C38" i="8"/>
  <c r="D38" i="8"/>
  <c r="E38" i="8"/>
  <c r="F38" i="8"/>
  <c r="G38" i="8"/>
  <c r="I37" i="8"/>
  <c r="J37" i="8"/>
  <c r="K37" i="8"/>
  <c r="L37" i="8"/>
  <c r="M37" i="8"/>
  <c r="C37" i="8"/>
  <c r="D37" i="8"/>
  <c r="E37" i="8"/>
  <c r="F37" i="8"/>
  <c r="G37" i="8"/>
  <c r="I34" i="8"/>
  <c r="J34" i="8"/>
  <c r="K34" i="8"/>
  <c r="L34" i="8"/>
  <c r="M34" i="8"/>
  <c r="C34" i="8"/>
  <c r="D34" i="8"/>
  <c r="E34" i="8"/>
  <c r="F34" i="8"/>
  <c r="G34" i="8"/>
  <c r="I33" i="8"/>
  <c r="J33" i="8"/>
  <c r="K33" i="8"/>
  <c r="L33" i="8"/>
  <c r="M33" i="8"/>
  <c r="C33" i="8"/>
  <c r="D33" i="8"/>
  <c r="E33" i="8"/>
  <c r="F33" i="8"/>
  <c r="G33" i="8"/>
  <c r="I32" i="8"/>
  <c r="J32" i="8"/>
  <c r="K32" i="8"/>
  <c r="L32" i="8"/>
  <c r="M32" i="8"/>
  <c r="C32" i="8"/>
  <c r="D32" i="8"/>
  <c r="E32" i="8"/>
  <c r="F32" i="8"/>
  <c r="G32" i="8"/>
  <c r="I31" i="8"/>
  <c r="J31" i="8"/>
  <c r="K31" i="8"/>
  <c r="L31" i="8"/>
  <c r="M31" i="8"/>
  <c r="C31" i="8"/>
  <c r="D31" i="8"/>
  <c r="E31" i="8"/>
  <c r="F31" i="8"/>
  <c r="G31" i="8"/>
  <c r="B31" i="8"/>
  <c r="J28" i="8"/>
  <c r="K28" i="8"/>
  <c r="G28" i="8"/>
  <c r="I27" i="8"/>
  <c r="I28" i="8" s="1"/>
  <c r="J27" i="8"/>
  <c r="K27" i="8"/>
  <c r="L27" i="8"/>
  <c r="L28" i="8" s="1"/>
  <c r="M27" i="8"/>
  <c r="M28" i="8" s="1"/>
  <c r="C27" i="8"/>
  <c r="C28" i="8" s="1"/>
  <c r="D27" i="8"/>
  <c r="D28" i="8" s="1"/>
  <c r="E27" i="8"/>
  <c r="E28" i="8" s="1"/>
  <c r="F27" i="8"/>
  <c r="F28" i="8" s="1"/>
  <c r="G27" i="8"/>
  <c r="I26" i="8"/>
  <c r="J26" i="8"/>
  <c r="K26" i="8"/>
  <c r="L26" i="8"/>
  <c r="M26" i="8"/>
  <c r="C26" i="8"/>
  <c r="D26" i="8"/>
  <c r="E26" i="8"/>
  <c r="F26" i="8"/>
  <c r="G26" i="8"/>
  <c r="I25" i="8"/>
  <c r="J25" i="8"/>
  <c r="K25" i="8"/>
  <c r="L25" i="8"/>
  <c r="M25" i="8"/>
  <c r="C25" i="8"/>
  <c r="D25" i="8"/>
  <c r="E25" i="8"/>
  <c r="F25" i="8"/>
  <c r="G25" i="8"/>
  <c r="I24" i="8"/>
  <c r="J24" i="8"/>
  <c r="K24" i="8"/>
  <c r="L24" i="8"/>
  <c r="M24" i="8"/>
  <c r="C24" i="8"/>
  <c r="D24" i="8"/>
  <c r="E24" i="8"/>
  <c r="F24" i="8"/>
  <c r="G24" i="8"/>
  <c r="B24" i="8"/>
  <c r="I23" i="8"/>
  <c r="J23" i="8"/>
  <c r="K23" i="8"/>
  <c r="L23" i="8"/>
  <c r="M23" i="8"/>
  <c r="C23" i="8"/>
  <c r="D23" i="8"/>
  <c r="E23" i="8"/>
  <c r="F23" i="8"/>
  <c r="G23" i="8"/>
  <c r="B23" i="8"/>
  <c r="I20" i="8"/>
  <c r="J20" i="8"/>
  <c r="K20" i="8"/>
  <c r="L20" i="8"/>
  <c r="M20" i="8"/>
  <c r="C20" i="8"/>
  <c r="D20" i="8"/>
  <c r="E20" i="8"/>
  <c r="F20" i="8"/>
  <c r="G20" i="8"/>
  <c r="I19" i="8"/>
  <c r="J19" i="8"/>
  <c r="K19" i="8"/>
  <c r="L19" i="8"/>
  <c r="M19" i="8"/>
  <c r="C19" i="8"/>
  <c r="D19" i="8"/>
  <c r="E19" i="8"/>
  <c r="F19" i="8"/>
  <c r="G19" i="8"/>
  <c r="B19" i="8"/>
  <c r="I18" i="8"/>
  <c r="J18" i="8"/>
  <c r="K18" i="8"/>
  <c r="L18" i="8"/>
  <c r="M18" i="8"/>
  <c r="C18" i="8"/>
  <c r="D18" i="8"/>
  <c r="E18" i="8"/>
  <c r="F18" i="8"/>
  <c r="G18" i="8"/>
  <c r="I17" i="8"/>
  <c r="J17" i="8"/>
  <c r="K17" i="8"/>
  <c r="L17" i="8"/>
  <c r="M17" i="8"/>
  <c r="C17" i="8"/>
  <c r="D17" i="8"/>
  <c r="E17" i="8"/>
  <c r="F17" i="8"/>
  <c r="G17" i="8"/>
  <c r="I16" i="8"/>
  <c r="J16" i="8"/>
  <c r="K16" i="8"/>
  <c r="L16" i="8"/>
  <c r="M16" i="8"/>
  <c r="C16" i="8"/>
  <c r="D16" i="8"/>
  <c r="E16" i="8"/>
  <c r="F16" i="8"/>
  <c r="G16" i="8"/>
  <c r="I15" i="8"/>
  <c r="J15" i="8"/>
  <c r="K15" i="8"/>
  <c r="L15" i="8"/>
  <c r="M15" i="8"/>
  <c r="C15" i="8"/>
  <c r="D15" i="8"/>
  <c r="E15" i="8"/>
  <c r="F15" i="8"/>
  <c r="G15" i="8"/>
  <c r="B15" i="8"/>
  <c r="J14" i="8"/>
  <c r="K14" i="8"/>
  <c r="L14" i="8"/>
  <c r="M14" i="8"/>
  <c r="I14" i="8"/>
  <c r="D14" i="8"/>
  <c r="E14" i="8"/>
  <c r="F14" i="8"/>
  <c r="G14" i="8"/>
  <c r="I13" i="8"/>
  <c r="J13" i="8"/>
  <c r="K13" i="8"/>
  <c r="L13" i="8"/>
  <c r="M13" i="8"/>
  <c r="C13" i="8"/>
  <c r="D13" i="8"/>
  <c r="E13" i="8"/>
  <c r="F13" i="8"/>
  <c r="G13" i="8"/>
  <c r="B13" i="8"/>
  <c r="I11" i="8"/>
  <c r="J11" i="8"/>
  <c r="K11" i="8"/>
  <c r="L11" i="8"/>
  <c r="M11" i="8"/>
  <c r="C11" i="8"/>
  <c r="D11" i="8"/>
  <c r="E11" i="8"/>
  <c r="F11" i="8"/>
  <c r="G11" i="8"/>
  <c r="G7" i="8"/>
  <c r="E7" i="8"/>
  <c r="F7" i="8" s="1"/>
  <c r="C7" i="8"/>
  <c r="B7" i="8"/>
  <c r="C65" i="2"/>
  <c r="D65" i="2"/>
  <c r="E65" i="2"/>
  <c r="F65" i="2"/>
  <c r="G65" i="2"/>
  <c r="I74" i="5"/>
  <c r="L45" i="5"/>
  <c r="L59" i="5" s="1"/>
  <c r="M45" i="5"/>
  <c r="M59" i="5" s="1"/>
  <c r="I58" i="2"/>
  <c r="J58" i="2" s="1"/>
  <c r="K58" i="2" s="1"/>
  <c r="L58" i="2" s="1"/>
  <c r="M58" i="2" s="1"/>
  <c r="I59" i="2"/>
  <c r="J59" i="2"/>
  <c r="K59" i="2"/>
  <c r="L59" i="2" s="1"/>
  <c r="M59" i="2" s="1"/>
  <c r="I60" i="2"/>
  <c r="J60" i="2"/>
  <c r="K60" i="2"/>
  <c r="L60" i="2"/>
  <c r="M60" i="2"/>
  <c r="I61" i="2"/>
  <c r="J61" i="2" s="1"/>
  <c r="K61" i="2" s="1"/>
  <c r="L61" i="2" s="1"/>
  <c r="M61" i="2" s="1"/>
  <c r="I53" i="2"/>
  <c r="J53" i="2" s="1"/>
  <c r="K53" i="2" s="1"/>
  <c r="L53" i="2" s="1"/>
  <c r="M53" i="2" s="1"/>
  <c r="I54" i="2"/>
  <c r="J54" i="2"/>
  <c r="K54" i="2"/>
  <c r="L54" i="2" s="1"/>
  <c r="M54" i="2" s="1"/>
  <c r="I50" i="2"/>
  <c r="I44" i="2"/>
  <c r="J44" i="2" s="1"/>
  <c r="K44" i="2" s="1"/>
  <c r="L44" i="2" s="1"/>
  <c r="M44" i="2" s="1"/>
  <c r="I45" i="2"/>
  <c r="J45" i="2"/>
  <c r="K45" i="2"/>
  <c r="L45" i="2" s="1"/>
  <c r="M45" i="2" s="1"/>
  <c r="I46" i="2"/>
  <c r="J46" i="2" s="1"/>
  <c r="K46" i="2" s="1"/>
  <c r="L46" i="2" s="1"/>
  <c r="M46" i="2" s="1"/>
  <c r="I47" i="2"/>
  <c r="J47" i="2" s="1"/>
  <c r="K47" i="2" s="1"/>
  <c r="L47" i="2" s="1"/>
  <c r="M47" i="2" s="1"/>
  <c r="I48" i="2"/>
  <c r="J48" i="2"/>
  <c r="K48" i="2" s="1"/>
  <c r="L48" i="2" s="1"/>
  <c r="M48" i="2" s="1"/>
  <c r="I49" i="2"/>
  <c r="J49" i="2" s="1"/>
  <c r="K49" i="2" s="1"/>
  <c r="L49" i="2" s="1"/>
  <c r="M49" i="2" s="1"/>
  <c r="I37" i="2"/>
  <c r="J37" i="2" s="1"/>
  <c r="K37" i="2" s="1"/>
  <c r="L37" i="2" s="1"/>
  <c r="M37" i="2" s="1"/>
  <c r="I28" i="2"/>
  <c r="J28" i="2"/>
  <c r="K28" i="2"/>
  <c r="L28" i="2"/>
  <c r="M28" i="2" s="1"/>
  <c r="I29" i="2"/>
  <c r="J29" i="2"/>
  <c r="K29" i="2"/>
  <c r="L29" i="2" s="1"/>
  <c r="M29" i="2" s="1"/>
  <c r="I30" i="2"/>
  <c r="J30" i="2"/>
  <c r="K30" i="2"/>
  <c r="L30" i="2"/>
  <c r="M30" i="2" s="1"/>
  <c r="I31" i="2"/>
  <c r="J31" i="2" s="1"/>
  <c r="K31" i="2" s="1"/>
  <c r="L31" i="2" s="1"/>
  <c r="M31" i="2" s="1"/>
  <c r="I32" i="2"/>
  <c r="J32" i="2"/>
  <c r="K32" i="2"/>
  <c r="L32" i="2"/>
  <c r="M32" i="2" s="1"/>
  <c r="I25" i="2"/>
  <c r="J25" i="2"/>
  <c r="K25" i="2" s="1"/>
  <c r="L25" i="2" s="1"/>
  <c r="M25" i="2" s="1"/>
  <c r="I14" i="2"/>
  <c r="J14" i="2"/>
  <c r="K14" i="2" s="1"/>
  <c r="L14" i="2" s="1"/>
  <c r="M14" i="2" s="1"/>
  <c r="I15" i="2"/>
  <c r="J15" i="2"/>
  <c r="K15" i="2"/>
  <c r="L15" i="2"/>
  <c r="M15" i="2" s="1"/>
  <c r="I16" i="2"/>
  <c r="J16" i="2"/>
  <c r="K16" i="2"/>
  <c r="L16" i="2"/>
  <c r="M16" i="2"/>
  <c r="I17" i="2"/>
  <c r="J17" i="2"/>
  <c r="K17" i="2" s="1"/>
  <c r="L17" i="2" s="1"/>
  <c r="M17" i="2" s="1"/>
  <c r="I18" i="2"/>
  <c r="J18" i="2"/>
  <c r="K18" i="2"/>
  <c r="L18" i="2"/>
  <c r="M18" i="2"/>
  <c r="I19" i="2"/>
  <c r="J19" i="2" s="1"/>
  <c r="K19" i="2" s="1"/>
  <c r="L19" i="2" s="1"/>
  <c r="M19" i="2" s="1"/>
  <c r="I20" i="2"/>
  <c r="J20" i="2" s="1"/>
  <c r="K20" i="2" s="1"/>
  <c r="L20" i="2" s="1"/>
  <c r="M20" i="2" s="1"/>
  <c r="I8" i="2"/>
  <c r="J8" i="2" s="1"/>
  <c r="K8" i="2" s="1"/>
  <c r="L8" i="2" s="1"/>
  <c r="M8" i="2" s="1"/>
  <c r="I9" i="2"/>
  <c r="J9" i="2"/>
  <c r="K9" i="2"/>
  <c r="L9" i="2" s="1"/>
  <c r="M9" i="2" s="1"/>
  <c r="I10" i="2"/>
  <c r="J10" i="2" s="1"/>
  <c r="K10" i="2" s="1"/>
  <c r="L10" i="2" s="1"/>
  <c r="M10" i="2" s="1"/>
  <c r="I11" i="2"/>
  <c r="J11" i="2" s="1"/>
  <c r="K11" i="2" s="1"/>
  <c r="L11" i="2" s="1"/>
  <c r="M11" i="2" s="1"/>
  <c r="I40" i="4"/>
  <c r="J40" i="4"/>
  <c r="K40" i="4"/>
  <c r="L40" i="4"/>
  <c r="M40" i="4"/>
  <c r="I39" i="4"/>
  <c r="I41" i="4" s="1"/>
  <c r="J39" i="4"/>
  <c r="K39" i="4"/>
  <c r="L39" i="4"/>
  <c r="L41" i="4" s="1"/>
  <c r="M39" i="4"/>
  <c r="M41" i="4" s="1"/>
  <c r="I22" i="4"/>
  <c r="I20" i="4"/>
  <c r="I9" i="5" s="1"/>
  <c r="J20" i="4"/>
  <c r="I16" i="4"/>
  <c r="I9" i="4"/>
  <c r="J9" i="4"/>
  <c r="K9" i="4"/>
  <c r="L9" i="4"/>
  <c r="M9" i="4"/>
  <c r="I8" i="4"/>
  <c r="I14" i="4" s="1"/>
  <c r="J8" i="4"/>
  <c r="J19" i="4" s="1"/>
  <c r="K8" i="4"/>
  <c r="K15" i="4" s="1"/>
  <c r="L8" i="4"/>
  <c r="M8" i="4" s="1"/>
  <c r="I7" i="4"/>
  <c r="J7" i="4" s="1"/>
  <c r="K7" i="4" s="1"/>
  <c r="L7" i="4" s="1"/>
  <c r="M7" i="4" s="1"/>
  <c r="I6" i="4"/>
  <c r="J6" i="4" s="1"/>
  <c r="K6" i="4" s="1"/>
  <c r="L6" i="4" s="1"/>
  <c r="M6" i="4" s="1"/>
  <c r="C28" i="6"/>
  <c r="D28" i="6"/>
  <c r="E28" i="6"/>
  <c r="F28" i="6"/>
  <c r="G28" i="6"/>
  <c r="I28" i="6" s="1"/>
  <c r="J28" i="6" s="1"/>
  <c r="K28" i="6" s="1"/>
  <c r="L28" i="6" s="1"/>
  <c r="M28" i="6" s="1"/>
  <c r="C30" i="6"/>
  <c r="D30" i="6"/>
  <c r="E30" i="6"/>
  <c r="F30" i="6"/>
  <c r="G30" i="6"/>
  <c r="D29" i="6"/>
  <c r="E29" i="6"/>
  <c r="F29" i="6"/>
  <c r="G29" i="6"/>
  <c r="C25" i="6"/>
  <c r="D25" i="6"/>
  <c r="E25" i="6"/>
  <c r="F25" i="6"/>
  <c r="G25" i="6"/>
  <c r="G24" i="6"/>
  <c r="C18" i="6"/>
  <c r="G18" i="6"/>
  <c r="C15" i="6"/>
  <c r="D15" i="6"/>
  <c r="E15" i="6"/>
  <c r="F15" i="6"/>
  <c r="G15" i="6"/>
  <c r="D14" i="6"/>
  <c r="E14" i="6"/>
  <c r="F14" i="6"/>
  <c r="G14" i="6"/>
  <c r="G11" i="6"/>
  <c r="G20" i="6" s="1"/>
  <c r="C8" i="6"/>
  <c r="D8" i="6"/>
  <c r="E8" i="6"/>
  <c r="F8" i="6"/>
  <c r="G8" i="6"/>
  <c r="I6" i="6"/>
  <c r="J6" i="6" s="1"/>
  <c r="K6" i="6" s="1"/>
  <c r="L6" i="6" s="1"/>
  <c r="M6" i="6" s="1"/>
  <c r="C6" i="6"/>
  <c r="C24" i="6" s="1"/>
  <c r="D6" i="6"/>
  <c r="D18" i="6" s="1"/>
  <c r="E6" i="6"/>
  <c r="F6" i="6"/>
  <c r="F18" i="6" s="1"/>
  <c r="G6" i="6"/>
  <c r="G13" i="6" s="1"/>
  <c r="D7" i="8" l="1"/>
  <c r="G9" i="8" a="1"/>
  <c r="G9" i="8" s="1"/>
  <c r="B9" i="8" a="1"/>
  <c r="B9" i="8" s="1"/>
  <c r="C9" i="8" a="1"/>
  <c r="C9" i="8" s="1"/>
  <c r="D9" i="8" a="1"/>
  <c r="D9" i="8" s="1"/>
  <c r="E9" i="8" a="1"/>
  <c r="E9" i="8" s="1"/>
  <c r="F9" i="8" a="1"/>
  <c r="F9" i="8" s="1"/>
  <c r="J14" i="4"/>
  <c r="C11" i="6"/>
  <c r="I13" i="4"/>
  <c r="G12" i="6"/>
  <c r="I12" i="4"/>
  <c r="J26" i="2"/>
  <c r="I57" i="2"/>
  <c r="K14" i="4"/>
  <c r="F11" i="6"/>
  <c r="G19" i="6"/>
  <c r="K26" i="2"/>
  <c r="F12" i="6"/>
  <c r="F23" i="6"/>
  <c r="K16" i="4"/>
  <c r="K41" i="4"/>
  <c r="F24" i="6"/>
  <c r="F13" i="6"/>
  <c r="C23" i="6"/>
  <c r="J16" i="4"/>
  <c r="J41" i="4"/>
  <c r="M50" i="2"/>
  <c r="K50" i="2"/>
  <c r="L50" i="2"/>
  <c r="J50" i="2"/>
  <c r="M19" i="4"/>
  <c r="M15" i="4"/>
  <c r="M10" i="4"/>
  <c r="E18" i="6"/>
  <c r="E11" i="6"/>
  <c r="E24" i="6"/>
  <c r="E23" i="6"/>
  <c r="E7" i="6"/>
  <c r="F7" i="6"/>
  <c r="E12" i="6"/>
  <c r="L13" i="4"/>
  <c r="L12" i="4"/>
  <c r="L19" i="4"/>
  <c r="L10" i="4"/>
  <c r="L23" i="2"/>
  <c r="L14" i="4"/>
  <c r="J12" i="5"/>
  <c r="J68" i="5"/>
  <c r="M26" i="2"/>
  <c r="D11" i="6"/>
  <c r="L26" i="2"/>
  <c r="L34" i="5" s="1"/>
  <c r="I17" i="4"/>
  <c r="D23" i="6"/>
  <c r="D7" i="6"/>
  <c r="D12" i="6"/>
  <c r="D13" i="6"/>
  <c r="D24" i="6"/>
  <c r="C19" i="6"/>
  <c r="C20" i="6"/>
  <c r="E13" i="6"/>
  <c r="J22" i="4"/>
  <c r="I18" i="5"/>
  <c r="I12" i="2"/>
  <c r="M23" i="2"/>
  <c r="M14" i="4"/>
  <c r="M12" i="4"/>
  <c r="K20" i="4"/>
  <c r="J9" i="5"/>
  <c r="K23" i="2"/>
  <c r="C13" i="6"/>
  <c r="K12" i="4"/>
  <c r="J23" i="2"/>
  <c r="I26" i="2"/>
  <c r="K45" i="5"/>
  <c r="K59" i="5" s="1"/>
  <c r="G7" i="6"/>
  <c r="G23" i="6"/>
  <c r="K10" i="4"/>
  <c r="M13" i="4"/>
  <c r="J12" i="4"/>
  <c r="L15" i="4"/>
  <c r="K19" i="4"/>
  <c r="I23" i="2"/>
  <c r="I36" i="5" s="1"/>
  <c r="J45" i="5"/>
  <c r="J59" i="5" s="1"/>
  <c r="J10" i="4"/>
  <c r="C12" i="6"/>
  <c r="I10" i="4"/>
  <c r="K13" i="4"/>
  <c r="M16" i="4"/>
  <c r="J15" i="4"/>
  <c r="I19" i="4"/>
  <c r="I7" i="2"/>
  <c r="I45" i="5"/>
  <c r="I59" i="5" s="1"/>
  <c r="J13" i="4"/>
  <c r="L16" i="4"/>
  <c r="I15" i="4"/>
  <c r="I56" i="2"/>
  <c r="L17" i="4" l="1"/>
  <c r="K34" i="5"/>
  <c r="L18" i="4"/>
  <c r="M17" i="4"/>
  <c r="J57" i="2"/>
  <c r="F19" i="6"/>
  <c r="F20" i="6"/>
  <c r="K36" i="5"/>
  <c r="L36" i="5"/>
  <c r="K22" i="4"/>
  <c r="J18" i="5"/>
  <c r="L20" i="4"/>
  <c r="K9" i="5"/>
  <c r="L68" i="5"/>
  <c r="L12" i="5"/>
  <c r="I12" i="5"/>
  <c r="I68" i="5"/>
  <c r="I34" i="5"/>
  <c r="J34" i="5"/>
  <c r="J36" i="5"/>
  <c r="M18" i="4"/>
  <c r="J7" i="2"/>
  <c r="I21" i="2"/>
  <c r="K12" i="5"/>
  <c r="K68" i="5"/>
  <c r="M34" i="5"/>
  <c r="J56" i="2"/>
  <c r="I38" i="5"/>
  <c r="I62" i="2"/>
  <c r="J17" i="4"/>
  <c r="J18" i="4" s="1"/>
  <c r="J21" i="4" s="1"/>
  <c r="J23" i="4" s="1"/>
  <c r="J25" i="4" s="1"/>
  <c r="J12" i="2"/>
  <c r="K12" i="2" s="1"/>
  <c r="E19" i="6"/>
  <c r="E20" i="6"/>
  <c r="D19" i="6"/>
  <c r="D20" i="6"/>
  <c r="M36" i="5"/>
  <c r="K17" i="4"/>
  <c r="K18" i="4" s="1"/>
  <c r="K21" i="4" s="1"/>
  <c r="K23" i="4" s="1"/>
  <c r="K25" i="4" s="1"/>
  <c r="I18" i="4"/>
  <c r="I21" i="4" s="1"/>
  <c r="I23" i="4" s="1"/>
  <c r="I25" i="4" s="1"/>
  <c r="M12" i="5"/>
  <c r="M68" i="5"/>
  <c r="K57" i="2" l="1"/>
  <c r="K27" i="4"/>
  <c r="K30" i="4" s="1"/>
  <c r="K42" i="5" s="1"/>
  <c r="K6" i="5"/>
  <c r="J27" i="4"/>
  <c r="J30" i="4" s="1"/>
  <c r="J42" i="5" s="1"/>
  <c r="J6" i="5"/>
  <c r="J32" i="5" s="1"/>
  <c r="J31" i="4"/>
  <c r="M20" i="4"/>
  <c r="M9" i="5" s="1"/>
  <c r="L9" i="5"/>
  <c r="L21" i="4"/>
  <c r="J62" i="2"/>
  <c r="J38" i="5"/>
  <c r="K56" i="2"/>
  <c r="I27" i="4"/>
  <c r="I30" i="4" s="1"/>
  <c r="I42" i="5" s="1"/>
  <c r="I6" i="5"/>
  <c r="I32" i="5" s="1"/>
  <c r="I41" i="5" s="1"/>
  <c r="I43" i="5" s="1"/>
  <c r="I31" i="4"/>
  <c r="K7" i="2"/>
  <c r="J21" i="2"/>
  <c r="L22" i="4"/>
  <c r="K18" i="5"/>
  <c r="M21" i="4" l="1"/>
  <c r="K32" i="5"/>
  <c r="L23" i="4"/>
  <c r="L25" i="4" s="1"/>
  <c r="L56" i="2"/>
  <c r="K62" i="2"/>
  <c r="K38" i="5"/>
  <c r="K41" i="5" s="1"/>
  <c r="K43" i="5" s="1"/>
  <c r="J36" i="4"/>
  <c r="J44" i="4" s="1"/>
  <c r="J33" i="4"/>
  <c r="J35" i="4"/>
  <c r="J70" i="5"/>
  <c r="J71" i="5" s="1"/>
  <c r="L27" i="4"/>
  <c r="L30" i="4" s="1"/>
  <c r="L42" i="5" s="1"/>
  <c r="L6" i="5"/>
  <c r="L7" i="2"/>
  <c r="K21" i="2"/>
  <c r="I33" i="4"/>
  <c r="I35" i="4"/>
  <c r="I70" i="5"/>
  <c r="I71" i="5" s="1"/>
  <c r="I73" i="5" s="1"/>
  <c r="I36" i="4"/>
  <c r="L57" i="2"/>
  <c r="M57" i="2" s="1"/>
  <c r="J41" i="5"/>
  <c r="J43" i="5" s="1"/>
  <c r="M22" i="4"/>
  <c r="M18" i="5" s="1"/>
  <c r="L18" i="5"/>
  <c r="L12" i="2"/>
  <c r="K31" i="4"/>
  <c r="L31" i="4" l="1"/>
  <c r="M12" i="2"/>
  <c r="I76" i="5"/>
  <c r="J74" i="5" s="1"/>
  <c r="I27" i="2"/>
  <c r="I38" i="2"/>
  <c r="I37" i="4"/>
  <c r="I43" i="4"/>
  <c r="I45" i="4" s="1"/>
  <c r="I47" i="4"/>
  <c r="I48" i="4" s="1"/>
  <c r="J47" i="4"/>
  <c r="J48" i="4" s="1"/>
  <c r="J43" i="4"/>
  <c r="J45" i="4" s="1"/>
  <c r="J37" i="4"/>
  <c r="J73" i="5"/>
  <c r="M7" i="2"/>
  <c r="M21" i="2" s="1"/>
  <c r="L21" i="2"/>
  <c r="L32" i="5"/>
  <c r="L41" i="5" s="1"/>
  <c r="L43" i="5" s="1"/>
  <c r="L36" i="4"/>
  <c r="L44" i="4" s="1"/>
  <c r="L70" i="5"/>
  <c r="L71" i="5" s="1"/>
  <c r="L33" i="4"/>
  <c r="L35" i="4"/>
  <c r="M23" i="4"/>
  <c r="M25" i="4" s="1"/>
  <c r="K70" i="5"/>
  <c r="K71" i="5" s="1"/>
  <c r="K73" i="5" s="1"/>
  <c r="K36" i="4"/>
  <c r="K44" i="4" s="1"/>
  <c r="K33" i="4"/>
  <c r="K35" i="4"/>
  <c r="I40" i="2"/>
  <c r="J40" i="2" s="1"/>
  <c r="I44" i="4"/>
  <c r="L62" i="2"/>
  <c r="L38" i="5"/>
  <c r="M56" i="2"/>
  <c r="K40" i="2" l="1"/>
  <c r="L40" i="2" s="1"/>
  <c r="M38" i="5"/>
  <c r="M62" i="2"/>
  <c r="K47" i="4"/>
  <c r="K48" i="4" s="1"/>
  <c r="K43" i="4"/>
  <c r="K45" i="4" s="1"/>
  <c r="K37" i="4"/>
  <c r="L73" i="5"/>
  <c r="M31" i="4"/>
  <c r="M27" i="4"/>
  <c r="M30" i="4" s="1"/>
  <c r="M42" i="5" s="1"/>
  <c r="M6" i="5"/>
  <c r="M32" i="5" s="1"/>
  <c r="M41" i="5" s="1"/>
  <c r="M43" i="5" s="1"/>
  <c r="J38" i="2"/>
  <c r="I39" i="2"/>
  <c r="I41" i="2" s="1"/>
  <c r="I63" i="2" s="1"/>
  <c r="L37" i="4"/>
  <c r="L47" i="4"/>
  <c r="L48" i="4" s="1"/>
  <c r="L43" i="4"/>
  <c r="L45" i="4" s="1"/>
  <c r="J27" i="2"/>
  <c r="I33" i="2"/>
  <c r="I34" i="2" s="1"/>
  <c r="J76" i="5"/>
  <c r="K74" i="5" s="1"/>
  <c r="K76" i="5" s="1"/>
  <c r="L74" i="5" s="1"/>
  <c r="K27" i="2" l="1"/>
  <c r="J33" i="2"/>
  <c r="J34" i="2" s="1"/>
  <c r="M35" i="4"/>
  <c r="M33" i="4"/>
  <c r="M70" i="5"/>
  <c r="M71" i="5" s="1"/>
  <c r="M73" i="5" s="1"/>
  <c r="M36" i="4"/>
  <c r="K38" i="2"/>
  <c r="J39" i="2"/>
  <c r="J41" i="2" s="1"/>
  <c r="J63" i="2" s="1"/>
  <c r="L76" i="5"/>
  <c r="M74" i="5" s="1"/>
  <c r="I65" i="2"/>
  <c r="L38" i="2" l="1"/>
  <c r="K39" i="2"/>
  <c r="K41" i="2" s="1"/>
  <c r="K63" i="2" s="1"/>
  <c r="M44" i="4"/>
  <c r="M40" i="2"/>
  <c r="M43" i="4"/>
  <c r="M45" i="4" s="1"/>
  <c r="M37" i="4"/>
  <c r="M47" i="4"/>
  <c r="M48" i="4" s="1"/>
  <c r="J65" i="2"/>
  <c r="M76" i="5"/>
  <c r="K33" i="2"/>
  <c r="K34" i="2" s="1"/>
  <c r="K65" i="2" s="1"/>
  <c r="L27" i="2"/>
  <c r="L33" i="2" l="1"/>
  <c r="L34" i="2" s="1"/>
  <c r="M27" i="2"/>
  <c r="M33" i="2" s="1"/>
  <c r="M34" i="2" s="1"/>
  <c r="M38" i="2"/>
  <c r="M39" i="2" s="1"/>
  <c r="M41" i="2" s="1"/>
  <c r="M63" i="2" s="1"/>
  <c r="L39" i="2"/>
  <c r="L41" i="2" s="1"/>
  <c r="L63" i="2" s="1"/>
  <c r="M65" i="2" l="1"/>
  <c r="L6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<sst xmlns="http://schemas.openxmlformats.org/spreadsheetml/2006/main" count="489" uniqueCount="387">
  <si>
    <t>Asian Paints Limited - Consolidated Balance Sheet</t>
  </si>
  <si>
    <t>As at</t>
  </si>
  <si>
    <t>Particulars</t>
  </si>
  <si>
    <t>31.03.2021</t>
  </si>
  <si>
    <t>31.03.2022</t>
  </si>
  <si>
    <t>31.03.2023</t>
  </si>
  <si>
    <t>31.03.2024</t>
  </si>
  <si>
    <t>31.03.2025</t>
  </si>
  <si>
    <t>ASSETS</t>
  </si>
  <si>
    <t>Non-Current Assets</t>
  </si>
  <si>
    <t>Property, Plant and Equipment</t>
  </si>
  <si>
    <t>Right-of-Use Assets</t>
  </si>
  <si>
    <t>Capital work-in-progress</t>
  </si>
  <si>
    <t>Goodwill</t>
  </si>
  <si>
    <t>Other Intangible Assets</t>
  </si>
  <si>
    <t>Investments in Associates</t>
  </si>
  <si>
    <t>Financial Assets</t>
  </si>
  <si>
    <t>Investments</t>
  </si>
  <si>
    <t>Trade Receivables</t>
  </si>
  <si>
    <t>Loans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</si>
  <si>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</si>
  <si>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</si>
  <si>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</si>
  <si>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</si>
  <si>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</si>
  <si>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</si>
  <si>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Inventories</t>
  </si>
  <si>
    <t>Cash and Cash Equivalents</t>
  </si>
  <si>
    <t>Other Balances with Banks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</si>
  <si>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</si>
  <si>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</si>
  <si>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</si>
  <si>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</si>
  <si>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</si>
  <si>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</si>
  <si>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</si>
  <si>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</si>
  <si>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 of the Company</t>
  </si>
  <si>
    <t>Non-Controlling Interests</t>
  </si>
  <si>
    <t>Total Equity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</si>
  <si>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</si>
  <si>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</si>
  <si>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</si>
  <si>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</si>
  <si>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</si>
  <si>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</si>
  <si>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</si>
  <si>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</si>
  <si>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</si>
  <si>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</si>
  <si>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</si>
  <si>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</si>
  <si>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</si>
  <si>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</si>
  <si>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Income Tax Liabilities (Net)</t>
  </si>
  <si>
    <t>Total Current Liabilities</t>
  </si>
  <si>
    <t>TOTAL EQUITY AND LIABILITIES</t>
  </si>
  <si>
    <t>Asian Paints Limited - Consolidated Statement of Profit and Loss</t>
  </si>
  <si>
    <t>Year ended</t>
  </si>
  <si>
    <t>REVENUE FROM OPERATIONS</t>
  </si>
  <si>
    <t>Revenue from Sale of Products</t>
  </si>
  <si>
    <t>Revenue from Sale of Services</t>
  </si>
  <si>
    <t>Other Operating Revenue</t>
  </si>
  <si>
    <t>Other Income</t>
  </si>
  <si>
    <t>Total Income (I)</t>
  </si>
  <si>
    <t>EXPENSES</t>
  </si>
  <si>
    <t>Cost of Materials Consumed</t>
  </si>
  <si>
    <t>Purchases of Stock-in-Trade</t>
  </si>
  <si>
    <t>Changes in inventories of finished goods, Stock-in-Trade and Work-in-Progress</t>
  </si>
  <si>
    <t>Employee Benefits Expense</t>
  </si>
  <si>
    <t>Other Expenses</t>
  </si>
  <si>
    <t>Total Expenses (II)</t>
  </si>
  <si>
    <t>EARNING BEFORE INTEREST, TAX, DEPRECIATION AND AMORTISATION (EBITDA) (I-II)</t>
  </si>
  <si>
    <t>Finance Costs</t>
  </si>
  <si>
    <t>Depreciation and Amortisation Expense</t>
  </si>
  <si>
    <t>PROFIT BEFORE SHARE OF PROFIT IN ASSOCIATES AND EXCEPTIONAL ITEMS</t>
  </si>
  <si>
    <t>Share of profit in Associates</t>
  </si>
  <si>
    <t>PROFIT BEFORE EXCEPTIONAL ITEMS AND TAX</t>
  </si>
  <si>
    <t>Exceptional Items</t>
  </si>
  <si>
    <t>PROFIT BEFORE TAX</t>
  </si>
  <si>
    <t>Tax Expense</t>
  </si>
  <si>
    <t>Current Tax</t>
  </si>
  <si>
    <t>Short tax provision for earlier years</t>
  </si>
  <si>
    <t>Deferred Tax</t>
  </si>
  <si>
    <t>Total tax expense</t>
  </si>
  <si>
    <t>PROFIT AFTER TAX</t>
  </si>
  <si>
    <t>Total Other Comprehensive Income (A+B), net of tax</t>
  </si>
  <si>
    <t>TOTAL COMPREHENSIVE INCOME FOR THE YEAR</t>
  </si>
  <si>
    <t>PROFIT FOR THE YEAR ATTRIBUTABLE TO:</t>
  </si>
  <si>
    <t>Profit for the year - Total</t>
  </si>
  <si>
    <t>OTHER COMPREHENSIVE INCOME FOR THE YEAR ATTRIBUTABLE TO:</t>
  </si>
  <si>
    <t>OCI for the year - Total</t>
  </si>
  <si>
    <t>TOTAL COMPREHENSIVE INCOME FOR THE YEAR ATTRIBUTABLE TO:</t>
  </si>
  <si>
    <t>Total Comprehensive income - Total</t>
  </si>
  <si>
    <t>Earnings per equity share (Face value of Re 1 each)</t>
  </si>
  <si>
    <t>Basic (in Rs)</t>
  </si>
  <si>
    <t>Diluted (in Rs)</t>
  </si>
  <si>
    <t>Owners of the Company</t>
  </si>
  <si>
    <t>Non-Controlling interest</t>
  </si>
  <si>
    <t>Asian Paints Limited - Consolidated Statement of Cash Flows</t>
  </si>
  <si>
    <t>(A) CASH FLOW FROM OPERATING ACTIVITIES</t>
  </si>
  <si>
    <t>Profit before tax</t>
  </si>
  <si>
    <t>Profit before tax from Discontinued operations</t>
  </si>
  <si>
    <t>Adjustments for:</t>
  </si>
  <si>
    <t>Depreciation and amortisation expense</t>
  </si>
  <si>
    <t>(Gain)/Loss on disposal of property, plant and equipment and other intangible assets</t>
  </si>
  <si>
    <t>Net gain on modification/termination of leases</t>
  </si>
  <si>
    <t>Finance costs</t>
  </si>
  <si>
    <t>Allowances for doubtful debts and advances</t>
  </si>
  <si>
    <t>Allowance for expected credit losses on receivables (trade &amp; others) and advances</t>
  </si>
  <si>
    <t>Bad debts written off (net)</t>
  </si>
  <si>
    <t>Interest income</t>
  </si>
  <si>
    <t>Dividend income</t>
  </si>
  <si>
    <t>Impairment loss on Goodwill (Causeway Lanka)</t>
  </si>
  <si>
    <t>Impairment loss on Goodwill and Intangible assets</t>
  </si>
  <si>
    <t>Net gain on financial assets measured at FVTPL</t>
  </si>
  <si>
    <t>Fair valuation loss on earnout, derivatives and gross obligation towards acquisition</t>
  </si>
  <si>
    <t>Fair valuation gain on stake acquisition obligation</t>
  </si>
  <si>
    <t>Fair valuation gain on previously held equity interest</t>
  </si>
  <si>
    <t>Loss on sale/disposal of subsidiaries</t>
  </si>
  <si>
    <t>Share based payment expense (net)</t>
  </si>
  <si>
    <t>Provision/(Reversal) for expected credit loss on government grants</t>
  </si>
  <si>
    <t>Deferred income arising from government grant</t>
  </si>
  <si>
    <t>Net unrealised foreign exchange (gain)/loss</t>
  </si>
  <si>
    <t>Other non cash adjustment</t>
  </si>
  <si>
    <t>Effect of exchange rates on translation of operating cashflows</t>
  </si>
  <si>
    <t>Operating Profit before working capital changes</t>
  </si>
  <si>
    <t>Adjustments for working capital:</t>
  </si>
  <si>
    <t>Decrease/(Increase) in trade receivables</t>
  </si>
  <si>
    <t>Decrease/(Increase) in financial assets</t>
  </si>
  <si>
    <t>(Increase)/Decrease in inventories</t>
  </si>
  <si>
    <t>Decrease/(Increase) in other assets</t>
  </si>
  <si>
    <t>(Decrease)/Increase in trade payables</t>
  </si>
  <si>
    <t>Increase in other financial liabilities</t>
  </si>
  <si>
    <t>Increase in other liabilities and provisions</t>
  </si>
  <si>
    <t>Cash generated from Operating activities</t>
  </si>
  <si>
    <t>Income Tax paid (net of refund)</t>
  </si>
  <si>
    <t>Net Cash generated from Operating activities</t>
  </si>
  <si>
    <t>(B) CASH FLOW FROM INVESTING ACTIVITIES</t>
  </si>
  <si>
    <t>Purchase of property, plant and equipment and other intangible assets</t>
  </si>
  <si>
    <t>Sale of property, plant and equipment</t>
  </si>
  <si>
    <t>Payment for acquiring right-of-use assets</t>
  </si>
  <si>
    <t>Purchase of non-current investments</t>
  </si>
  <si>
    <t>Sale of non-current investments</t>
  </si>
  <si>
    <t>Sale/(Purchase) of current investments (net)</t>
  </si>
  <si>
    <t>Proceeds from/(Purchase of) term deposits (net)</t>
  </si>
  <si>
    <t>Investment in Associate</t>
  </si>
  <si>
    <t>Proceeds from disposal of subsidiaries (net)</t>
  </si>
  <si>
    <t>Amount paid for acquiring controlling stake</t>
  </si>
  <si>
    <t>Payment of earnout</t>
  </si>
  <si>
    <t>Interest received</t>
  </si>
  <si>
    <t>Dividend received from Associate</t>
  </si>
  <si>
    <t>Dividend received from others</t>
  </si>
  <si>
    <t>Net Cash used in Investing activities</t>
  </si>
  <si>
    <t>(C) CASH FLOW FROM FINANCING ACTIVITIES</t>
  </si>
  <si>
    <t>Proceeds from long term borrowings</t>
  </si>
  <si>
    <t>Repayment of long term borrowings</t>
  </si>
  <si>
    <t>Proceeds/(Repayment) from short term borrowings (net)</t>
  </si>
  <si>
    <t>Acceptances (net)</t>
  </si>
  <si>
    <t>Amount infused by non-controlling shareholders in subsidiary</t>
  </si>
  <si>
    <t>Repayment of principal portion of lease liabilities</t>
  </si>
  <si>
    <t>Transactions with non-controlling interest</t>
  </si>
  <si>
    <t>Finance costs paid (including lease interest)</t>
  </si>
  <si>
    <t>Treasury shares - ESOP Trust transactions (net)</t>
  </si>
  <si>
    <t>Dividend paid (including dividend paid to non-controlling shareholders)</t>
  </si>
  <si>
    <t>Net Cash used in Financing activities</t>
  </si>
  <si>
    <t>(D) NET CHANGE IN CASH AND CASH EQUIVALENTS</t>
  </si>
  <si>
    <t>NET INCREASE/(DECREASE) IN CASH AND CASH EQUIVALENTS [A+B+C]</t>
  </si>
  <si>
    <t>Cash and cash equivalents as at 1st April</t>
  </si>
  <si>
    <t>Net effect of exchange (loss)/gain on cash and cash equivalents</t>
  </si>
  <si>
    <t>Cash and cash equivalents as at 31st March</t>
  </si>
  <si>
    <t>(₹ in Crores)</t>
  </si>
  <si>
    <t>Asian Paints Limited - Forecast Assumptions</t>
  </si>
  <si>
    <t>(₹ in Crores unless noted)</t>
  </si>
  <si>
    <t>Historical</t>
  </si>
  <si>
    <t>Forecast</t>
  </si>
  <si>
    <t>31.03.2026E</t>
  </si>
  <si>
    <t>31.03.2027E</t>
  </si>
  <si>
    <t>31.03.2028E</t>
  </si>
  <si>
    <t>31.03.2029E</t>
  </si>
  <si>
    <t>31.03.2030E</t>
  </si>
  <si>
    <t>REVENUE &amp; GROWTH</t>
  </si>
  <si>
    <t>Revenue from Operations</t>
  </si>
  <si>
    <t>Revenue Growth (%)</t>
  </si>
  <si>
    <t>COST DRIVERS</t>
  </si>
  <si>
    <t>COGS (% of Revenue)</t>
  </si>
  <si>
    <t>Employee Expense (% of Revenue)</t>
  </si>
  <si>
    <t>Other Expenses (% of Revenue)</t>
  </si>
  <si>
    <t>D&amp;A Growth (%)</t>
  </si>
  <si>
    <t>Effective Tax Rate (%)</t>
  </si>
  <si>
    <t>WORKING CAPITAL DAYS</t>
  </si>
  <si>
    <t>Days Sales Outstanding (DSO)</t>
  </si>
  <si>
    <t>Days Inventory Outstanding (DIO)</t>
  </si>
  <si>
    <t>Days Payables Outstanding (DPO)</t>
  </si>
  <si>
    <t>CAPEX &amp; FINANCING</t>
  </si>
  <si>
    <t>Capex (% of Revenue)</t>
  </si>
  <si>
    <t>Finance Costs (% of Revenue)</t>
  </si>
  <si>
    <t>Dividend Payout Ratio</t>
  </si>
  <si>
    <t>OTHER ASSUMPTIONS</t>
  </si>
  <si>
    <t>Equity Shares Outstanding (Crores)</t>
  </si>
  <si>
    <t>Share of Profit in Associates Growth</t>
  </si>
  <si>
    <t>NCI Share of PAT (%)</t>
  </si>
  <si>
    <t>Balance Check (TA - TE&amp;L)</t>
  </si>
  <si>
    <t>MODEL DETAILS</t>
  </si>
  <si>
    <t>Company</t>
  </si>
  <si>
    <t>Asian Paints Limited</t>
  </si>
  <si>
    <t>Industry</t>
  </si>
  <si>
    <t>Paints, Coatings &amp; Home Décor</t>
  </si>
  <si>
    <t>Reporting Currency</t>
  </si>
  <si>
    <t>Indian Rupees (₹), values in ₹ Crores</t>
  </si>
  <si>
    <t>Historical Period</t>
  </si>
  <si>
    <t>FY2021 - FY2025 (5 years actual)</t>
  </si>
  <si>
    <t>Forecast Period</t>
  </si>
  <si>
    <t>FY2026E - FY2030E (5 years forecast)</t>
  </si>
  <si>
    <t>Last Updated</t>
  </si>
  <si>
    <t>TABLE OF CONTENTS</t>
  </si>
  <si>
    <t>Sheet</t>
  </si>
  <si>
    <t>Description</t>
  </si>
  <si>
    <t>Model overview, navigation, and formatting legend</t>
  </si>
  <si>
    <t>Key financial highlights, ratios, and KPIs across periods</t>
  </si>
  <si>
    <t>Forecast drivers - growth rates, margins, working capital days</t>
  </si>
  <si>
    <t>Consolidated P&amp;L - actuals and forecasts</t>
  </si>
  <si>
    <t>Consolidated balance sheet - actuals and forecasts</t>
  </si>
  <si>
    <t>Consolidated cash flows - actuals and forecasts</t>
  </si>
  <si>
    <t>FORMATTING LEGEND</t>
  </si>
  <si>
    <t>Format</t>
  </si>
  <si>
    <t>Meaning</t>
  </si>
  <si>
    <t>Hardcoded forecast input (manually entered assumption)</t>
  </si>
  <si>
    <t>Forecast formula (forward-looking calculation)</t>
  </si>
  <si>
    <t>SECTION HEADER</t>
  </si>
  <si>
    <t>Major section divider</t>
  </si>
  <si>
    <t>Subtotal/Total (bold with double bottom border)</t>
  </si>
  <si>
    <t>Balance Check (must equal 0; red flag if non-zero)</t>
  </si>
  <si>
    <t>MODEL NOTES</t>
  </si>
  <si>
    <t>Forecast methodology</t>
  </si>
  <si>
    <t>Revenue grown by assumed annual rates; expenses driven by % of revenue</t>
  </si>
  <si>
    <t>Working capital</t>
  </si>
  <si>
    <t>Cash flow plug</t>
  </si>
  <si>
    <t>KEY FINANCIAL HIGHLIGHTS</t>
  </si>
  <si>
    <t>Revenue Growth</t>
  </si>
  <si>
    <t>EBITDA</t>
  </si>
  <si>
    <t>EBITDA Margin</t>
  </si>
  <si>
    <t>EBIT</t>
  </si>
  <si>
    <t>EBIT Margin</t>
  </si>
  <si>
    <t>PAT Margin</t>
  </si>
  <si>
    <t>BALANCE SHEET SUMMARY</t>
  </si>
  <si>
    <t>Total Borrowings (NC + Current)</t>
  </si>
  <si>
    <t>Net Debt / (Net Cash)</t>
  </si>
  <si>
    <t>Net Debt to Equity</t>
  </si>
  <si>
    <t>CASH FLOW SUMMARY</t>
  </si>
  <si>
    <t>Capital Expenditure</t>
  </si>
  <si>
    <t>Free Cash Flow (CFO + Capex)</t>
  </si>
  <si>
    <t>Dividends Paid</t>
  </si>
  <si>
    <t>KEY RATIOS</t>
  </si>
  <si>
    <t>Return on Equity (ROE)</t>
  </si>
  <si>
    <t>Return on Assets (ROA)</t>
  </si>
  <si>
    <t>Return on Capital Employed (ROCE)</t>
  </si>
  <si>
    <t>Effective Tax Rate</t>
  </si>
  <si>
    <t>CFO / Revenue</t>
  </si>
  <si>
    <t>PER SHARE DATA</t>
  </si>
  <si>
    <t>Book Value per Share (₹)</t>
  </si>
  <si>
    <t>Dividend per Share (₹)</t>
  </si>
  <si>
    <t>Shares Outstanding (Crores)</t>
  </si>
  <si>
    <t>BALANCE CHECK</t>
  </si>
  <si>
    <t>Balance Sheet Check (Assets - Equity &amp; Liabilities)</t>
  </si>
  <si>
    <t>ASIAN PAINTS LIMITED</t>
  </si>
  <si>
    <t>Financial Model | FY2021 - FY2030E</t>
  </si>
  <si>
    <t>SNAPSHOT</t>
  </si>
  <si>
    <t>FY2025 (Latest Actual)</t>
  </si>
  <si>
    <t>FY2030E (Forecast)</t>
  </si>
  <si>
    <t>Revenue</t>
  </si>
  <si>
    <t>₹ Crores</t>
  </si>
  <si>
    <t>PAT</t>
  </si>
  <si>
    <t>EPS (Basic)</t>
  </si>
  <si>
    <t>₹ per share</t>
  </si>
  <si>
    <t>Revenue 5Y CAGR</t>
  </si>
  <si>
    <t>PAT 5Y CAGR</t>
  </si>
  <si>
    <t>Forecast based on assumed Days Sales / Inventory / Payables Outstanding</t>
  </si>
  <si>
    <t>Cash position is the balancing plug; may turn negative under base assumptions</t>
  </si>
  <si>
    <t>Executive Summary | Five-Year Forecast</t>
  </si>
  <si>
    <t>SELECT YEAR</t>
  </si>
  <si>
    <t>of revenue</t>
  </si>
  <si>
    <t>ROE</t>
  </si>
  <si>
    <t>PAT / Equity</t>
  </si>
  <si>
    <t>Historical (FY2021 - FY2025)</t>
  </si>
  <si>
    <t>Forecast (FY2026E - FY2030E)</t>
  </si>
  <si>
    <t>vs</t>
  </si>
  <si>
    <t>COMPARE TO</t>
  </si>
  <si>
    <t>INTERACTIVE CHARTS</t>
  </si>
  <si>
    <t>Revenue &amp; Profitability Trajectory</t>
  </si>
  <si>
    <t>Cash Flow Generation Profile</t>
  </si>
  <si>
    <t>── Helper Data (chart &amp; delta source — do not edit)</t>
  </si>
  <si>
    <t>Compare Period Index</t>
  </si>
  <si>
    <t>Period</t>
  </si>
  <si>
    <t>EPS</t>
  </si>
  <si>
    <t>CFO</t>
  </si>
  <si>
    <t>Capex (abs)</t>
  </si>
  <si>
    <t>FCF</t>
  </si>
  <si>
    <t>Dividends (abs)</t>
  </si>
  <si>
    <t>Source: Asia paints Ltd. Annual Reports FY21-FY25; NSE/BSE filings; brokerage research; management Q4 FY26 commentary</t>
  </si>
  <si>
    <t xml:space="preserve">Prepared as part of independent academic / analytical exercise </t>
  </si>
  <si>
    <t>Disclaimer: This valuation is for illustrative &amp; educational purposes only. It does not constitute investment advice, recommendation, or solicitation.</t>
  </si>
  <si>
    <t xml:space="preserve"> All figures are model outputs subject to assumptions; actual results may differ materially.</t>
  </si>
  <si>
    <t>User Guide &amp; Instructions</t>
  </si>
  <si>
    <t>PURPOSE OF THIS MODEL</t>
  </si>
  <si>
    <t>Asian Paints Limited — a 5-year integrated financial forecasting model.</t>
  </si>
  <si>
    <t>HOW TO USE</t>
  </si>
  <si>
    <t>Step 1</t>
  </si>
  <si>
    <t>Open Cover Page</t>
  </si>
  <si>
    <t>Pick a fiscal year in cell C6 to refresh the KPI snapshot tiles instantly.</t>
  </si>
  <si>
    <t>Step 2</t>
  </si>
  <si>
    <t>Open Summary</t>
  </si>
  <si>
    <t>Use year picker (C4) and compare-to picker (F4) for YoY deltas with arrows.</t>
  </si>
  <si>
    <t>Step 3</t>
  </si>
  <si>
    <t>Edit Assumptions</t>
  </si>
  <si>
    <t>All forecast drivers live here — yellow input cells are editable.</t>
  </si>
  <si>
    <t>Step 4</t>
  </si>
  <si>
    <t>Trace through statements</t>
  </si>
  <si>
    <t>IS → BS → CF flow downstream from Assumptions automatically.</t>
  </si>
  <si>
    <t>Step 5</t>
  </si>
  <si>
    <t>Verify balance check</t>
  </si>
  <si>
    <t>Balance Sheet row 65 must equal 0 across all periods (red if non-zero).</t>
  </si>
  <si>
    <t>Step 6</t>
  </si>
  <si>
    <t>Inspect charts</t>
  </si>
  <si>
    <t>Summary holds two interactive charts (rows 53-70) sourced from helper data.</t>
  </si>
  <si>
    <t>SHEET MAP</t>
  </si>
  <si>
    <t>Name</t>
  </si>
  <si>
    <t>•</t>
  </si>
  <si>
    <t>Brand snapshot, year-picker KPI tiles, revenue chart, navigation hub.</t>
  </si>
  <si>
    <t>You are here — user guide and conventions reference.</t>
  </si>
  <si>
    <t>Executive dashboard, KPIs, ratios, YoY deltas, two charts.</t>
  </si>
  <si>
    <t>All forecast drivers — growth, margins, working capital days. Edit here.</t>
  </si>
  <si>
    <t>Consolidated P&amp;L — actuals through FY25, forecasts FY26E-FY30E.</t>
  </si>
  <si>
    <t>Assets, equity, liabilities. Includes balance check on row 65.</t>
  </si>
  <si>
    <t>Operating, investing, financing flows. Cash position is the plug.</t>
  </si>
  <si>
    <t>INTERACTIVE FEATURES</t>
  </si>
  <si>
    <t>☰</t>
  </si>
  <si>
    <t>Year Picker (Cover Page!C6)</t>
  </si>
  <si>
    <t>Dropdown of all 10 fiscal years; KPI tiles refresh via INDEX/MATCH.</t>
  </si>
  <si>
    <t>Year Picker (Summary!C4)</t>
  </si>
  <si>
    <t>Same dropdown driving the six KPI tiles on Summary.</t>
  </si>
  <si>
    <t>Compare Picker (Summary!F4)</t>
  </si>
  <si>
    <t>Pick a benchmark year; the delta row (B9:G9) shows green / red arrows.</t>
  </si>
  <si>
    <t>Hyperlinks</t>
  </si>
  <si>
    <t>Drill from Summary line items (Revenue, EBITDA, PAT, Total Assets, etc.) into source statements.</t>
  </si>
  <si>
    <t>Conditional data bars</t>
  </si>
  <si>
    <t>Revenue, EBITDA, PAT, CFO, EPS rows on Summary use brand-colored data bars.</t>
  </si>
  <si>
    <t>Charts</t>
  </si>
  <si>
    <t>Revenue &amp; Profitability + Cash Flow Generation charts on Summary; Revenue Trajectory on Cover Page.</t>
  </si>
  <si>
    <t>EDITING THE FORECAST</t>
  </si>
  <si>
    <t>✎</t>
  </si>
  <si>
    <t>Revenue growth</t>
  </si>
  <si>
    <t>Assumptions row 7 (annual % growth applied to product/service revenue lines).</t>
  </si>
  <si>
    <t>Cost ratios</t>
  </si>
  <si>
    <t>Assumptions rows 11-13 (COGS, employee costs, other expenses as % of revenue).</t>
  </si>
  <si>
    <t>Assumptions rows 18-20 (DSO, DIO, DPO in days).</t>
  </si>
  <si>
    <t>Capex &amp; financing</t>
  </si>
  <si>
    <t>Assumptions rows 23-25 (capex, dividend payout, depreciation rate).</t>
  </si>
  <si>
    <t>Tax &amp; other</t>
  </si>
  <si>
    <t>Assumptions rows 15, 27-30 (effective tax, finance cost rate, NCI %, etc.).</t>
  </si>
  <si>
    <t>COLOR &amp; FORMAT CONVENTIONS</t>
  </si>
  <si>
    <t>Hardcoded forecast input — manually entered assumption (yellow fill).</t>
  </si>
  <si>
    <t>Forecast formula — forward-looking calculation in violet text.</t>
  </si>
  <si>
    <t>SECTION</t>
  </si>
  <si>
    <t>Major section header (deep violet — Asian Paints brand primary).</t>
  </si>
  <si>
    <t>SUB-SEC</t>
  </si>
  <si>
    <t>Sub-section / table header (cinnabar — Asian Paints brand accent).</t>
  </si>
  <si>
    <t>Subtotal / Total row — bold with bottom border.</t>
  </si>
  <si>
    <t>Balance check — must equal 0; red flag if non-zero.</t>
  </si>
  <si>
    <t>VALIDATION &amp; CAUTIONS</t>
  </si>
  <si>
    <t>⚠</t>
  </si>
  <si>
    <t>Balance Check</t>
  </si>
  <si>
    <t>Watch Balance Sheet row 65 — if non-zero, the model is out of balance.</t>
  </si>
  <si>
    <t>Sign Conventions</t>
  </si>
  <si>
    <t>Capex and Dividends are stored as negative numbers in CF; positive in chart helper.</t>
  </si>
  <si>
    <t>Cash Plug</t>
  </si>
  <si>
    <t>Cash position acts as the balancing plug; under-funded forecasts may show negative cash.</t>
  </si>
  <si>
    <t>Helper Data</t>
  </si>
  <si>
    <t>Summary rows 71-86 power charts and deltas — do not edit or delete these rows.</t>
  </si>
  <si>
    <t>NOTES &amp; DISCLAIMER</t>
  </si>
  <si>
    <t>Source: Asian Paints Ltd. Annual Reports FY21-FY25; NSE/BSE filings; brokerage research; management commentary.</t>
  </si>
  <si>
    <t>Prepared as part of an independent academic / analytical exercise.</t>
  </si>
  <si>
    <t>All figures are model outputs subject to assumptions; actual results may differ materially.</t>
  </si>
  <si>
    <t>•  5 years of historical actuals (FY2021 - FY2025)</t>
  </si>
  <si>
    <t>•  5 years of forecast projections (FY2026E - FY2030E)</t>
  </si>
  <si>
    <t>•  Three linked statements (Income Statement, Balance Sheet, Cash Flow) driven by a single Assumptions sheet</t>
  </si>
  <si>
    <t>•  Interactive Cover Page and Summary dashboards with year-pickers and KPI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</si>
</sst>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_);\(#,##0.00\);&quot;-&quot;;@"/>
    <numFmt numFmtId="165" formatCode="#,##0.00;[Red]\(#,##0.00\)"/>
    <numFmt numFmtId="166" formatCode="dd/mm/yyyy"/>
    <numFmt numFmtId="167" formatCode="0.0%;[Red]\(0.0%\)"/>
    <numFmt numFmtId="168" formatCode="0.0%"/>
    <numFmt numFmtId="169" formatCode="dd/mmm/yyyy"/>
  </numFmts>
  <fonts count="82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0"/>
      <color theme="1"/>
      <name val="Aptos"/>
      <family val="2"/>
    </font>
    <font>
      <b/>
      <sz val="12"/>
      <color rgb="FFFFFFFF"/>
      <name val="Aptos"/>
      <family val="2"/>
    </font>
    <font>
      <b/>
      <i/>
      <sz val="12"/>
      <color theme="1"/>
      <name val="Aptos"/>
      <family val="2"/>
    </font>
    <font>
      <b/>
      <sz val="16"/>
      <color theme="0"/>
      <name val="Aptos"/>
      <family val="2"/>
    </font>
    <font>
      <sz val="12"/>
      <color theme="1"/>
      <name val="Aptos"/>
    </font>
    <font>
      <i/>
      <sz val="12"/>
      <color rgb="FF7F7F7F"/>
      <name val="Aptos"/>
      <family val="2"/>
    </font>
    <font>
      <b/>
      <sz val="13"/>
      <color rgb="FFFFFFFF"/>
      <name val="Aptos"/>
      <family val="2"/>
    </font>
    <font>
      <b/>
      <sz val="12"/>
      <name val="Aptos"/>
      <family val="2"/>
    </font>
    <font>
      <i/>
      <sz val="12"/>
      <color theme="1"/>
      <name val="Aptos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2"/>
      <color rgb="FFFF0000"/>
      <name val="Aptos"/>
      <family val="2"/>
    </font>
    <font>
      <b/>
      <sz val="16"/>
      <color rgb="FFFFFFFF"/>
      <name val="Aptos"/>
      <family val="2"/>
    </font>
    <font>
      <sz val="12"/>
      <color rgb="FF0000FF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theme="1"/>
      <name val="Arial"/>
      <family val="2"/>
    </font>
    <font>
      <b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6"/>
      <color rgb="FF310E5F"/>
      <name val="Arial"/>
      <family val="2"/>
    </font>
    <font>
      <i/>
      <sz val="8"/>
      <color rgb="FF310E5F"/>
      <name val="Arial"/>
      <family val="2"/>
    </font>
    <font>
      <b/>
      <sz val="16"/>
      <color rgb="FFF03F35"/>
      <name val="Arial"/>
      <family val="2"/>
    </font>
    <font>
      <i/>
      <sz val="8"/>
      <color rgb="FFF03F35"/>
      <name val="Arial"/>
      <family val="2"/>
    </font>
    <font>
      <i/>
      <sz val="9"/>
      <color rgb="FF310E5F"/>
      <name val="Arial"/>
      <family val="2"/>
    </font>
    <font>
      <b/>
      <sz val="18"/>
      <color rgb="FFFFFFFF"/>
      <name val="Aptos"/>
      <family val="2"/>
    </font>
    <font>
      <i/>
      <sz val="11"/>
      <color rgb="FFFFFFFF"/>
      <name val="Aptos"/>
      <family val="2"/>
    </font>
    <font>
      <sz val="10"/>
      <color rgb="FF000000"/>
      <name val="Aptos"/>
      <family val="2"/>
    </font>
    <font>
      <b/>
      <i/>
      <sz val="9"/>
      <color rgb="FF310E5F"/>
      <name val="Aptos"/>
      <family val="2"/>
    </font>
    <font>
      <b/>
      <sz val="16"/>
      <color rgb="FFF03F35"/>
      <name val="Aptos"/>
      <family val="2"/>
    </font>
    <font>
      <b/>
      <i/>
      <sz val="10"/>
      <color rgb="FF310E5F"/>
      <name val="Aptos"/>
      <family val="2"/>
    </font>
    <font>
      <b/>
      <sz val="12"/>
      <color rgb="FFF03F35"/>
      <name val="Aptos"/>
      <family val="2"/>
    </font>
    <font>
      <b/>
      <sz val="10"/>
      <color rgb="FF310E5F"/>
      <name val="Aptos"/>
      <family val="2"/>
    </font>
    <font>
      <i/>
      <sz val="12"/>
      <color rgb="FFFFFFFF"/>
      <name val="Aptos"/>
      <family val="2"/>
    </font>
    <font>
      <sz val="12"/>
      <color rgb="FF000000"/>
      <name val="Aptos"/>
      <family val="2"/>
    </font>
    <font>
      <b/>
      <i/>
      <sz val="12"/>
      <color rgb="FF310E5F"/>
      <name val="Aptos"/>
      <family val="2"/>
    </font>
    <font>
      <b/>
      <i/>
      <sz val="12"/>
      <color rgb="FFF03F35"/>
      <name val="Aptos"/>
      <family val="2"/>
    </font>
    <font>
      <b/>
      <sz val="12"/>
      <color rgb="FF310E5F"/>
      <name val="Aptos"/>
      <family val="2"/>
    </font>
    <font>
      <i/>
      <sz val="12"/>
      <color rgb="FF310E5F"/>
      <name val="Aptos"/>
      <family val="2"/>
    </font>
    <font>
      <i/>
      <sz val="12"/>
      <color rgb="FFF03F35"/>
      <name val="Aptos"/>
      <family val="2"/>
    </font>
    <font>
      <b/>
      <u/>
      <sz val="12"/>
      <color rgb="FF310E5F"/>
      <name val="Aptos"/>
      <family val="2"/>
    </font>
    <font>
      <u/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4"/>
      <color rgb="FFFFFFFF"/>
      <name val="Aptos"/>
      <family val="2"/>
    </font>
    <font>
      <i/>
      <sz val="12"/>
      <color rgb="FF000000"/>
      <name val="Aptos"/>
      <family val="2"/>
    </font>
    <font>
      <b/>
      <sz val="22"/>
      <color rgb="FFFFFFFF"/>
      <name val="Aptos"/>
      <family val="2"/>
    </font>
    <font>
      <b/>
      <i/>
      <sz val="14"/>
      <color rgb="FF310E5F"/>
      <name val="Aptos"/>
      <family val="2"/>
    </font>
    <font>
      <b/>
      <i/>
      <sz val="16"/>
      <color rgb="FF310E5F"/>
      <name val="Aptos"/>
      <family val="2"/>
    </font>
    <font>
      <sz val="16"/>
      <color rgb="FF000000"/>
      <name val="Aptos"/>
      <family val="2"/>
    </font>
    <font>
      <sz val="16"/>
      <color theme="1"/>
      <name val="Aptos"/>
      <family val="2"/>
    </font>
    <font>
      <b/>
      <sz val="13"/>
      <color rgb="FF310E5F"/>
      <name val="Aptos"/>
      <family val="2"/>
    </font>
    <font>
      <sz val="13"/>
      <color rgb="FF000000"/>
      <name val="Aptos"/>
      <family val="2"/>
    </font>
    <font>
      <b/>
      <u/>
      <sz val="13"/>
      <color rgb="FF310E5F"/>
      <name val="Aptos"/>
      <family val="2"/>
    </font>
    <font>
      <b/>
      <sz val="13"/>
      <color rgb="FF000000"/>
      <name val="Aptos"/>
      <family val="2"/>
    </font>
    <font>
      <b/>
      <sz val="13"/>
      <color rgb="FFF03F35"/>
      <name val="Aptos"/>
      <family val="2"/>
    </font>
    <font>
      <i/>
      <sz val="10"/>
      <color rgb="FF310E5F"/>
      <name val="Aptos"/>
      <family val="2"/>
    </font>
    <font>
      <b/>
      <i/>
      <sz val="10"/>
      <color rgb="FFF03F35"/>
      <name val="Aptos"/>
      <family val="2"/>
    </font>
    <font>
      <sz val="10"/>
      <color rgb="FF310E5F"/>
      <name val="Aptos"/>
      <family val="2"/>
    </font>
    <font>
      <i/>
      <sz val="9"/>
      <color rgb="FF7F7F7F"/>
      <name val="Aptos"/>
      <family val="2"/>
    </font>
    <font>
      <b/>
      <sz val="9"/>
      <color rgb="FF310E5F"/>
      <name val="Aptos"/>
      <family val="2"/>
    </font>
    <font>
      <b/>
      <i/>
      <sz val="12"/>
      <color rgb="FFFFFFFF"/>
      <name val="Aptos"/>
      <family val="2"/>
    </font>
    <font>
      <sz val="12"/>
      <color rgb="FF310E5F"/>
      <name val="Aptos"/>
      <family val="2"/>
    </font>
    <font>
      <b/>
      <i/>
      <sz val="14"/>
      <color rgb="FFF03F35"/>
      <name val="Aptos"/>
      <family val="2"/>
    </font>
    <font>
      <b/>
      <i/>
      <sz val="12"/>
      <name val="Aptos"/>
      <family val="2"/>
    </font>
    <font>
      <b/>
      <sz val="28"/>
      <color rgb="FF310E5F"/>
      <name val="Aptos"/>
      <family val="2"/>
    </font>
    <font>
      <b/>
      <sz val="28"/>
      <color rgb="FFF03F35"/>
      <name val="Aptos"/>
      <family val="2"/>
    </font>
    <font>
      <sz val="28"/>
      <color rgb="FF000000"/>
      <name val="Aptos"/>
      <family val="2"/>
    </font>
    <font>
      <b/>
      <u/>
      <sz val="26"/>
      <color rgb="FFFFFFFF"/>
      <name val="Aptos"/>
      <family val="2"/>
    </font>
    <font>
      <sz val="12"/>
      <color theme="1" tint="0.249977111117893"/>
      <name val="Aptos"/>
      <family val="2"/>
    </font>
    <font>
      <sz val="11"/>
      <color rgb="FF310E5F"/>
      <name val="Aptos"/>
      <family val="2"/>
    </font>
    <font>
      <i/>
      <sz val="11"/>
      <color rgb="FF310E5F"/>
      <name val="Aptos"/>
      <family val="2"/>
    </font>
    <font>
      <sz val="11"/>
      <color rgb="FF000000"/>
      <name val="Aptos"/>
      <family val="2"/>
    </font>
    <font>
      <b/>
      <sz val="12"/>
      <color rgb="FF0000FF"/>
      <name val="Aptos"/>
      <family val="2"/>
    </font>
    <font>
      <i/>
      <sz val="10"/>
      <color theme="1" tint="0.499984740745262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3D5A3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10E5F"/>
        <bgColor indexed="64"/>
      </patternFill>
    </fill>
    <fill>
      <patternFill patternType="solid">
        <fgColor rgb="FFF03F35"/>
        <bgColor indexed="64"/>
      </patternFill>
    </fill>
    <fill>
      <patternFill patternType="solid">
        <fgColor rgb="FFF5F0FA"/>
        <bgColor indexed="64"/>
      </patternFill>
    </fill>
    <fill>
      <patternFill patternType="solid">
        <fgColor rgb="FFFFF4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9C7"/>
        <bgColor indexed="64"/>
      </patternFill>
    </fill>
    <fill>
      <patternFill patternType="solid">
        <fgColor rgb="FFFAFAFA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A893CB"/>
      </right>
      <top/>
      <bottom/>
      <diagonal/>
    </border>
    <border>
      <left/>
      <right/>
      <top style="thin">
        <color rgb="FFA893CB"/>
      </top>
      <bottom style="thin">
        <color auto="1"/>
      </bottom>
      <diagonal/>
    </border>
    <border>
      <left style="thin">
        <color rgb="FFA893CB"/>
      </left>
      <right/>
      <top style="thin">
        <color rgb="FFA893CB"/>
      </top>
      <bottom style="thin">
        <color auto="1"/>
      </bottom>
      <diagonal/>
    </border>
    <border>
      <left/>
      <right/>
      <top style="thin">
        <color rgb="FFA893CB"/>
      </top>
      <bottom/>
      <diagonal/>
    </border>
    <border>
      <left/>
      <right style="thin">
        <color rgb="FFA893CB"/>
      </right>
      <top style="thin">
        <color rgb="FFA893CB"/>
      </top>
      <bottom/>
      <diagonal/>
    </border>
    <border>
      <left style="thin">
        <color rgb="FFA893CB"/>
      </left>
      <right/>
      <top style="thin">
        <color rgb="FFA893CB"/>
      </top>
      <bottom/>
      <diagonal/>
    </border>
    <border>
      <left style="thin">
        <color rgb="FFA893CB"/>
      </left>
      <right/>
      <top style="thin">
        <color auto="1"/>
      </top>
      <bottom style="thin">
        <color auto="1"/>
      </bottom>
      <diagonal/>
    </border>
    <border>
      <left style="thin">
        <color rgb="FFA893CB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A893CB"/>
      </bottom>
      <diagonal/>
    </border>
    <border>
      <left style="thin">
        <color rgb="FFA893CB"/>
      </left>
      <right/>
      <top style="thin">
        <color auto="1"/>
      </top>
      <bottom style="thin">
        <color rgb="FFA893CB"/>
      </bottom>
      <diagonal/>
    </border>
    <border>
      <left/>
      <right/>
      <top/>
      <bottom style="thin">
        <color rgb="FFA893CB"/>
      </bottom>
      <diagonal/>
    </border>
    <border>
      <left/>
      <right style="thin">
        <color rgb="FFA893CB"/>
      </right>
      <top/>
      <bottom style="thin">
        <color rgb="FFA893CB"/>
      </bottom>
      <diagonal/>
    </border>
    <border>
      <left style="thin">
        <color rgb="FFFDBA3D"/>
      </left>
      <right style="thin">
        <color rgb="FFFDBA3D"/>
      </right>
      <top style="thin">
        <color rgb="FFFDBA3D"/>
      </top>
      <bottom/>
      <diagonal/>
    </border>
    <border>
      <left style="thin">
        <color rgb="FFFDBA3D"/>
      </left>
      <right style="thin">
        <color rgb="FFFDBA3D"/>
      </right>
      <top/>
      <bottom/>
      <diagonal/>
    </border>
    <border>
      <left style="thin">
        <color rgb="FFFDBA3D"/>
      </left>
      <right/>
      <top/>
      <bottom style="thin">
        <color rgb="FFFDBA3D"/>
      </bottom>
      <diagonal/>
    </border>
    <border>
      <left/>
      <right/>
      <top style="thin">
        <color rgb="FFFDBA3D"/>
      </top>
      <bottom style="thin">
        <color rgb="FFFDBA3D"/>
      </bottom>
      <diagonal/>
    </border>
    <border>
      <left/>
      <right/>
      <top/>
      <bottom style="thin">
        <color rgb="FFFDBA3D"/>
      </bottom>
      <diagonal/>
    </border>
    <border>
      <left style="thin">
        <color rgb="FFFDBA3D"/>
      </left>
      <right/>
      <top style="thin">
        <color rgb="FFFDBA3D"/>
      </top>
      <bottom style="thin">
        <color rgb="FFFDBA3D"/>
      </bottom>
      <diagonal/>
    </border>
    <border>
      <left/>
      <right/>
      <top style="thin">
        <color rgb="FFA893CB"/>
      </top>
      <bottom style="thin">
        <color rgb="FFA893CB"/>
      </bottom>
      <diagonal/>
    </border>
    <border>
      <left style="thin">
        <color rgb="FFA893CB"/>
      </left>
      <right/>
      <top style="thin">
        <color rgb="FFA893CB"/>
      </top>
      <bottom style="thin">
        <color rgb="FFA893CB"/>
      </bottom>
      <diagonal/>
    </border>
    <border>
      <left/>
      <right style="thin">
        <color rgb="FFA893CB"/>
      </right>
      <top style="thin">
        <color rgb="FFA893CB"/>
      </top>
      <bottom style="thin">
        <color rgb="FFA893CB"/>
      </bottom>
      <diagonal/>
    </border>
    <border>
      <left/>
      <right/>
      <top style="medium">
        <color rgb="FFFDBA3D"/>
      </top>
      <bottom/>
      <diagonal/>
    </border>
    <border>
      <left style="medium">
        <color rgb="FFFDBA3D"/>
      </left>
      <right/>
      <top style="medium">
        <color rgb="FFFDBA3D"/>
      </top>
      <bottom style="medium">
        <color rgb="FFFDBA3D"/>
      </bottom>
      <diagonal/>
    </border>
    <border>
      <left style="thin">
        <color rgb="FFFDBA3D"/>
      </left>
      <right/>
      <top style="thin">
        <color rgb="FFFDBA3D"/>
      </top>
      <bottom style="thin">
        <color auto="1"/>
      </bottom>
      <diagonal/>
    </border>
    <border>
      <left style="thin">
        <color rgb="FFFDBA3D"/>
      </left>
      <right/>
      <top style="thin">
        <color auto="1"/>
      </top>
      <bottom style="thin">
        <color auto="1"/>
      </bottom>
      <diagonal/>
    </border>
    <border>
      <left style="thin">
        <color rgb="FFFDBA3D"/>
      </left>
      <right/>
      <top style="thin">
        <color auto="1"/>
      </top>
      <bottom style="thin">
        <color rgb="FFFDBA3D"/>
      </bottom>
      <diagonal/>
    </border>
    <border>
      <left style="thin">
        <color rgb="FFFDBA3D"/>
      </left>
      <right style="thin">
        <color rgb="FFFDBA3D"/>
      </right>
      <top style="thin">
        <color rgb="FFFDBA3D"/>
      </top>
      <bottom style="thin">
        <color auto="1"/>
      </bottom>
      <diagonal/>
    </border>
    <border>
      <left style="thin">
        <color rgb="FFFDBA3D"/>
      </left>
      <right style="thin">
        <color rgb="FFFDBA3D"/>
      </right>
      <top style="thin">
        <color auto="1"/>
      </top>
      <bottom style="thin">
        <color auto="1"/>
      </bottom>
      <diagonal/>
    </border>
    <border>
      <left style="thin">
        <color rgb="FFFDBA3D"/>
      </left>
      <right style="thin">
        <color rgb="FFFDBA3D"/>
      </right>
      <top style="thin">
        <color auto="1"/>
      </top>
      <bottom style="thin">
        <color rgb="FFFDBA3D"/>
      </bottom>
      <diagonal/>
    </border>
    <border>
      <left/>
      <right/>
      <top style="thin">
        <color auto="1"/>
      </top>
      <bottom style="medium">
        <color rgb="FFFDBA3D"/>
      </bottom>
      <diagonal/>
    </border>
    <border>
      <left/>
      <right/>
      <top/>
      <bottom style="thin">
        <color rgb="FFF03F35"/>
      </bottom>
      <diagonal/>
    </border>
    <border>
      <left style="medium">
        <color rgb="FFFDBA3D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rgb="FF310E5F"/>
      </top>
      <bottom style="medium">
        <color rgb="FF310E5F"/>
      </bottom>
      <diagonal/>
    </border>
    <border>
      <left style="medium">
        <color rgb="FF310E5F"/>
      </left>
      <right/>
      <top style="medium">
        <color rgb="FF310E5F"/>
      </top>
      <bottom style="medium">
        <color rgb="FF310E5F"/>
      </bottom>
      <diagonal/>
    </border>
    <border>
      <left style="thin">
        <color rgb="FFA893CB"/>
      </left>
      <right/>
      <top/>
      <bottom style="thin">
        <color rgb="FFA893CB"/>
      </bottom>
      <diagonal/>
    </border>
    <border>
      <left/>
      <right/>
      <top style="medium">
        <color rgb="FF310E5F"/>
      </top>
      <bottom/>
      <diagonal/>
    </border>
    <border>
      <left style="medium">
        <color rgb="FF310E5F"/>
      </left>
      <right/>
      <top style="medium">
        <color rgb="FF310E5F"/>
      </top>
      <bottom/>
      <diagonal/>
    </border>
    <border>
      <left/>
      <right style="medium">
        <color rgb="FF310E5F"/>
      </right>
      <top style="medium">
        <color rgb="FF310E5F"/>
      </top>
      <bottom/>
      <diagonal/>
    </border>
    <border>
      <left/>
      <right style="thin">
        <color rgb="FFFDBA3D"/>
      </right>
      <top style="thin">
        <color rgb="FFFDBA3D"/>
      </top>
      <bottom style="thin">
        <color rgb="FFFDBA3D"/>
      </bottom>
      <diagonal/>
    </border>
    <border>
      <left style="thin">
        <color rgb="FFA893CB"/>
      </left>
      <right/>
      <top/>
      <bottom/>
      <diagonal/>
    </border>
    <border>
      <left style="thin">
        <color rgb="FFA893CB"/>
      </left>
      <right/>
      <top style="thin">
        <color rgb="FFA893CB"/>
      </top>
      <bottom style="hair">
        <color rgb="FFA893CB"/>
      </bottom>
      <diagonal/>
    </border>
    <border>
      <left/>
      <right/>
      <top style="thin">
        <color rgb="FFA893CB"/>
      </top>
      <bottom style="hair">
        <color rgb="FFA893CB"/>
      </bottom>
      <diagonal/>
    </border>
    <border>
      <left/>
      <right style="thin">
        <color rgb="FFA893CB"/>
      </right>
      <top style="thin">
        <color rgb="FFA893CB"/>
      </top>
      <bottom style="hair">
        <color rgb="FFA893CB"/>
      </bottom>
      <diagonal/>
    </border>
    <border>
      <left style="thin">
        <color rgb="FFA893CB"/>
      </left>
      <right/>
      <top style="hair">
        <color rgb="FFA893CB"/>
      </top>
      <bottom style="hair">
        <color rgb="FFA893CB"/>
      </bottom>
      <diagonal/>
    </border>
    <border>
      <left/>
      <right/>
      <top style="hair">
        <color rgb="FFA893CB"/>
      </top>
      <bottom style="hair">
        <color rgb="FFA893CB"/>
      </bottom>
      <diagonal/>
    </border>
    <border>
      <left/>
      <right style="thin">
        <color rgb="FFA893CB"/>
      </right>
      <top style="hair">
        <color rgb="FFA893CB"/>
      </top>
      <bottom style="hair">
        <color rgb="FFA893CB"/>
      </bottom>
      <diagonal/>
    </border>
    <border>
      <left style="thin">
        <color rgb="FFA893CB"/>
      </left>
      <right/>
      <top style="hair">
        <color rgb="FFA893CB"/>
      </top>
      <bottom style="thin">
        <color rgb="FFA893CB"/>
      </bottom>
      <diagonal/>
    </border>
    <border>
      <left/>
      <right/>
      <top style="hair">
        <color rgb="FFA893CB"/>
      </top>
      <bottom style="thin">
        <color rgb="FFA893CB"/>
      </bottom>
      <diagonal/>
    </border>
    <border>
      <left/>
      <right style="thin">
        <color rgb="FFA893CB"/>
      </right>
      <top style="hair">
        <color rgb="FFA893CB"/>
      </top>
      <bottom style="thin">
        <color rgb="FFA893CB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FDBA3D"/>
      </left>
      <right/>
      <top style="thin">
        <color rgb="FFFDBA3D"/>
      </top>
      <bottom style="hair">
        <color rgb="FFFDBA3D"/>
      </bottom>
      <diagonal/>
    </border>
    <border>
      <left/>
      <right/>
      <top style="thin">
        <color rgb="FFFDBA3D"/>
      </top>
      <bottom style="hair">
        <color rgb="FFFDBA3D"/>
      </bottom>
      <diagonal/>
    </border>
    <border>
      <left/>
      <right style="thin">
        <color rgb="FFFDBA3D"/>
      </right>
      <top style="thin">
        <color rgb="FFFDBA3D"/>
      </top>
      <bottom style="hair">
        <color rgb="FFFDBA3D"/>
      </bottom>
      <diagonal/>
    </border>
    <border>
      <left style="thin">
        <color rgb="FFFDBA3D"/>
      </left>
      <right/>
      <top style="hair">
        <color rgb="FFFDBA3D"/>
      </top>
      <bottom style="hair">
        <color rgb="FFFDBA3D"/>
      </bottom>
      <diagonal/>
    </border>
    <border>
      <left/>
      <right/>
      <top style="hair">
        <color rgb="FFFDBA3D"/>
      </top>
      <bottom style="hair">
        <color rgb="FFFDBA3D"/>
      </bottom>
      <diagonal/>
    </border>
    <border>
      <left/>
      <right style="thin">
        <color rgb="FFFDBA3D"/>
      </right>
      <top style="hair">
        <color rgb="FFFDBA3D"/>
      </top>
      <bottom style="hair">
        <color rgb="FFFDBA3D"/>
      </bottom>
      <diagonal/>
    </border>
    <border>
      <left style="thin">
        <color rgb="FFFDBA3D"/>
      </left>
      <right/>
      <top style="hair">
        <color rgb="FFFDBA3D"/>
      </top>
      <bottom style="thin">
        <color rgb="FFFDBA3D"/>
      </bottom>
      <diagonal/>
    </border>
    <border>
      <left/>
      <right/>
      <top style="hair">
        <color rgb="FFFDBA3D"/>
      </top>
      <bottom style="thin">
        <color rgb="FFFDBA3D"/>
      </bottom>
      <diagonal/>
    </border>
    <border>
      <left/>
      <right style="thin">
        <color rgb="FFFDBA3D"/>
      </right>
      <top style="hair">
        <color rgb="FFFDBA3D"/>
      </top>
      <bottom style="thin">
        <color rgb="FFFDBA3D"/>
      </bottom>
      <diagonal/>
    </border>
    <border>
      <left style="thin">
        <color rgb="FFA893CB"/>
      </left>
      <right style="thin">
        <color rgb="FF7F7F7F"/>
      </right>
      <top style="thin">
        <color rgb="FFA893CB"/>
      </top>
      <bottom style="thin">
        <color rgb="FF7F7F7F"/>
      </bottom>
      <diagonal/>
    </border>
    <border>
      <left style="thin">
        <color rgb="FFA893CB"/>
      </left>
      <right/>
      <top/>
      <bottom style="double">
        <color rgb="FF310E5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164" fontId="3" fillId="2" borderId="0" xfId="0" applyNumberFormat="1" applyFont="1" applyFill="1"/>
    <xf numFmtId="40" fontId="0" fillId="0" borderId="0" xfId="0" applyNumberFormat="1"/>
    <xf numFmtId="40" fontId="2" fillId="0" borderId="0" xfId="0" applyNumberFormat="1" applyFont="1"/>
    <xf numFmtId="40" fontId="1" fillId="0" borderId="0" xfId="0" applyNumberFormat="1" applyFont="1" applyAlignment="1">
      <alignment horizontal="center"/>
    </xf>
    <xf numFmtId="40" fontId="1" fillId="0" borderId="3" xfId="0" applyNumberFormat="1" applyFont="1" applyBorder="1"/>
    <xf numFmtId="40" fontId="1" fillId="0" borderId="3" xfId="0" applyNumberFormat="1" applyFont="1" applyBorder="1" applyAlignment="1">
      <alignment horizontal="center"/>
    </xf>
    <xf numFmtId="40" fontId="4" fillId="0" borderId="0" xfId="0" applyNumberFormat="1" applyFont="1"/>
    <xf numFmtId="40" fontId="0" fillId="0" borderId="0" xfId="0" applyNumberFormat="1" applyAlignment="1">
      <alignment horizontal="center"/>
    </xf>
    <xf numFmtId="40" fontId="1" fillId="0" borderId="4" xfId="0" applyNumberFormat="1" applyFont="1" applyBorder="1"/>
    <xf numFmtId="40" fontId="3" fillId="4" borderId="1" xfId="0" applyNumberFormat="1" applyFont="1" applyFill="1" applyBorder="1" applyAlignment="1">
      <alignment horizontal="left"/>
    </xf>
    <xf numFmtId="40" fontId="3" fillId="4" borderId="2" xfId="0" applyNumberFormat="1" applyFont="1" applyFill="1" applyBorder="1" applyAlignment="1">
      <alignment horizontal="center"/>
    </xf>
    <xf numFmtId="40" fontId="1" fillId="5" borderId="0" xfId="0" applyNumberFormat="1" applyFont="1" applyFill="1"/>
    <xf numFmtId="40" fontId="3" fillId="3" borderId="0" xfId="0" applyNumberFormat="1" applyFont="1" applyFill="1"/>
    <xf numFmtId="0" fontId="6" fillId="0" borderId="0" xfId="0" applyFont="1"/>
    <xf numFmtId="40" fontId="1" fillId="0" borderId="0" xfId="0" applyNumberFormat="1" applyFont="1"/>
    <xf numFmtId="40" fontId="3" fillId="3" borderId="13" xfId="0" applyNumberFormat="1" applyFont="1" applyFill="1" applyBorder="1"/>
    <xf numFmtId="40" fontId="3" fillId="3" borderId="6" xfId="0" applyNumberFormat="1" applyFont="1" applyFill="1" applyBorder="1"/>
    <xf numFmtId="40" fontId="3" fillId="3" borderId="5" xfId="0" applyNumberFormat="1" applyFont="1" applyFill="1" applyBorder="1"/>
    <xf numFmtId="40" fontId="0" fillId="0" borderId="0" xfId="0" applyNumberFormat="1" applyAlignment="1">
      <alignment horizontal="left" indent="1"/>
    </xf>
    <xf numFmtId="40" fontId="0" fillId="0" borderId="0" xfId="0" applyNumberFormat="1" applyAlignment="1">
      <alignment horizontal="left" indent="2"/>
    </xf>
    <xf numFmtId="165" fontId="0" fillId="0" borderId="6" xfId="0" applyNumberFormat="1" applyBorder="1"/>
    <xf numFmtId="165" fontId="10" fillId="0" borderId="6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3" fillId="3" borderId="5" xfId="0" applyNumberFormat="1" applyFont="1" applyFill="1" applyBorder="1"/>
    <xf numFmtId="0" fontId="0" fillId="3" borderId="0" xfId="0" applyFill="1"/>
    <xf numFmtId="165" fontId="0" fillId="0" borderId="0" xfId="0" applyNumberFormat="1"/>
    <xf numFmtId="165" fontId="0" fillId="0" borderId="5" xfId="0" applyNumberFormat="1" applyBorder="1"/>
    <xf numFmtId="165" fontId="1" fillId="0" borderId="0" xfId="0" applyNumberFormat="1" applyFont="1"/>
    <xf numFmtId="40" fontId="1" fillId="0" borderId="6" xfId="0" applyNumberFormat="1" applyFont="1" applyBorder="1"/>
    <xf numFmtId="165" fontId="1" fillId="0" borderId="5" xfId="0" applyNumberFormat="1" applyFont="1" applyBorder="1"/>
    <xf numFmtId="40" fontId="13" fillId="0" borderId="13" xfId="0" applyNumberFormat="1" applyFont="1" applyBorder="1"/>
    <xf numFmtId="165" fontId="13" fillId="0" borderId="13" xfId="0" applyNumberFormat="1" applyFont="1" applyBorder="1"/>
    <xf numFmtId="40" fontId="14" fillId="7" borderId="0" xfId="0" applyNumberFormat="1" applyFont="1" applyFill="1" applyAlignment="1">
      <alignment horizontal="center" vertical="center"/>
    </xf>
    <xf numFmtId="40" fontId="3" fillId="4" borderId="0" xfId="0" applyNumberFormat="1" applyFont="1" applyFill="1" applyAlignment="1">
      <alignment horizontal="center"/>
    </xf>
    <xf numFmtId="40" fontId="15" fillId="9" borderId="11" xfId="0" applyNumberFormat="1" applyFont="1" applyFill="1" applyBorder="1"/>
    <xf numFmtId="40" fontId="15" fillId="9" borderId="7" xfId="0" applyNumberFormat="1" applyFont="1" applyFill="1" applyBorder="1"/>
    <xf numFmtId="40" fontId="15" fillId="9" borderId="12" xfId="0" applyNumberFormat="1" applyFont="1" applyFill="1" applyBorder="1"/>
    <xf numFmtId="40" fontId="15" fillId="9" borderId="9" xfId="0" applyNumberFormat="1" applyFont="1" applyFill="1" applyBorder="1"/>
    <xf numFmtId="40" fontId="15" fillId="9" borderId="8" xfId="0" applyNumberFormat="1" applyFont="1" applyFill="1" applyBorder="1"/>
    <xf numFmtId="40" fontId="15" fillId="9" borderId="10" xfId="0" applyNumberFormat="1" applyFont="1" applyFill="1" applyBorder="1"/>
    <xf numFmtId="40" fontId="9" fillId="11" borderId="3" xfId="0" applyNumberFormat="1" applyFont="1" applyFill="1" applyBorder="1" applyAlignment="1">
      <alignment horizontal="center"/>
    </xf>
    <xf numFmtId="0" fontId="16" fillId="0" borderId="0" xfId="0" applyFont="1"/>
    <xf numFmtId="0" fontId="19" fillId="7" borderId="0" xfId="0" applyFont="1" applyFill="1" applyAlignment="1">
      <alignment vertical="center"/>
    </xf>
    <xf numFmtId="0" fontId="20" fillId="0" borderId="0" xfId="0" applyFont="1"/>
    <xf numFmtId="0" fontId="18" fillId="3" borderId="5" xfId="0" applyFont="1" applyFill="1" applyBorder="1"/>
    <xf numFmtId="0" fontId="18" fillId="3" borderId="0" xfId="0" applyFont="1" applyFill="1"/>
    <xf numFmtId="0" fontId="17" fillId="0" borderId="13" xfId="0" applyFont="1" applyBorder="1"/>
    <xf numFmtId="0" fontId="16" fillId="0" borderId="13" xfId="0" applyFont="1" applyBorder="1"/>
    <xf numFmtId="0" fontId="17" fillId="0" borderId="6" xfId="0" applyFont="1" applyBorder="1"/>
    <xf numFmtId="0" fontId="16" fillId="0" borderId="6" xfId="0" applyFont="1" applyBorder="1"/>
    <xf numFmtId="0" fontId="17" fillId="0" borderId="3" xfId="0" applyFont="1" applyBorder="1"/>
    <xf numFmtId="166" fontId="16" fillId="0" borderId="3" xfId="0" applyNumberFormat="1" applyFont="1" applyBorder="1"/>
    <xf numFmtId="0" fontId="18" fillId="4" borderId="16" xfId="0" applyFont="1" applyFill="1" applyBorder="1"/>
    <xf numFmtId="0" fontId="22" fillId="0" borderId="13" xfId="0" applyFont="1" applyBorder="1"/>
    <xf numFmtId="0" fontId="22" fillId="0" borderId="6" xfId="0" applyFont="1" applyBorder="1"/>
    <xf numFmtId="0" fontId="22" fillId="0" borderId="3" xfId="0" applyFont="1" applyBorder="1"/>
    <xf numFmtId="0" fontId="16" fillId="0" borderId="3" xfId="0" applyFont="1" applyBorder="1"/>
    <xf numFmtId="165" fontId="16" fillId="9" borderId="13" xfId="0" applyNumberFormat="1" applyFont="1" applyFill="1" applyBorder="1" applyAlignment="1">
      <alignment horizontal="right"/>
    </xf>
    <xf numFmtId="165" fontId="23" fillId="0" borderId="6" xfId="0" applyNumberFormat="1" applyFont="1" applyBorder="1" applyAlignment="1">
      <alignment horizontal="right"/>
    </xf>
    <xf numFmtId="0" fontId="18" fillId="3" borderId="6" xfId="0" applyFont="1" applyFill="1" applyBorder="1" applyAlignment="1">
      <alignment horizontal="center"/>
    </xf>
    <xf numFmtId="165" fontId="17" fillId="0" borderId="6" xfId="0" applyNumberFormat="1" applyFont="1" applyBorder="1" applyAlignment="1">
      <alignment horizontal="right"/>
    </xf>
    <xf numFmtId="165" fontId="24" fillId="0" borderId="3" xfId="0" applyNumberFormat="1" applyFont="1" applyBorder="1" applyAlignment="1">
      <alignment horizontal="right"/>
    </xf>
    <xf numFmtId="0" fontId="17" fillId="0" borderId="0" xfId="0" applyFont="1" applyAlignment="1">
      <alignment horizontal="center"/>
    </xf>
    <xf numFmtId="0" fontId="18" fillId="8" borderId="0" xfId="0" applyFont="1" applyFill="1" applyAlignment="1">
      <alignment horizontal="center"/>
    </xf>
    <xf numFmtId="165" fontId="18" fillId="4" borderId="0" xfId="0" applyNumberFormat="1" applyFont="1" applyFill="1" applyAlignment="1">
      <alignment horizontal="left"/>
    </xf>
    <xf numFmtId="165" fontId="18" fillId="4" borderId="3" xfId="0" applyNumberFormat="1" applyFont="1" applyFill="1" applyBorder="1" applyAlignment="1">
      <alignment horizontal="center"/>
    </xf>
    <xf numFmtId="0" fontId="18" fillId="3" borderId="13" xfId="0" applyFont="1" applyFill="1" applyBorder="1"/>
    <xf numFmtId="165" fontId="17" fillId="0" borderId="6" xfId="0" applyNumberFormat="1" applyFont="1" applyBorder="1"/>
    <xf numFmtId="165" fontId="21" fillId="0" borderId="6" xfId="0" applyNumberFormat="1" applyFont="1" applyBorder="1"/>
    <xf numFmtId="0" fontId="16" fillId="0" borderId="6" xfId="0" applyFont="1" applyBorder="1" applyAlignment="1">
      <alignment horizontal="left" indent="1"/>
    </xf>
    <xf numFmtId="167" fontId="16" fillId="0" borderId="6" xfId="0" applyNumberFormat="1" applyFont="1" applyBorder="1"/>
    <xf numFmtId="167" fontId="23" fillId="0" borderId="6" xfId="0" applyNumberFormat="1" applyFont="1" applyBorder="1"/>
    <xf numFmtId="0" fontId="16" fillId="0" borderId="3" xfId="0" applyFont="1" applyBorder="1" applyAlignment="1">
      <alignment horizontal="left" indent="1"/>
    </xf>
    <xf numFmtId="167" fontId="16" fillId="0" borderId="3" xfId="0" applyNumberFormat="1" applyFont="1" applyBorder="1"/>
    <xf numFmtId="167" fontId="23" fillId="0" borderId="3" xfId="0" applyNumberFormat="1" applyFont="1" applyBorder="1"/>
    <xf numFmtId="165" fontId="16" fillId="0" borderId="6" xfId="0" applyNumberFormat="1" applyFont="1" applyBorder="1"/>
    <xf numFmtId="165" fontId="23" fillId="0" borderId="6" xfId="0" applyNumberFormat="1" applyFont="1" applyBorder="1"/>
    <xf numFmtId="165" fontId="16" fillId="0" borderId="3" xfId="0" applyNumberFormat="1" applyFont="1" applyBorder="1"/>
    <xf numFmtId="165" fontId="23" fillId="0" borderId="3" xfId="0" applyNumberFormat="1" applyFont="1" applyBorder="1"/>
    <xf numFmtId="0" fontId="24" fillId="0" borderId="6" xfId="0" applyFont="1" applyBorder="1"/>
    <xf numFmtId="165" fontId="24" fillId="0" borderId="6" xfId="0" applyNumberFormat="1" applyFont="1" applyBorder="1"/>
    <xf numFmtId="0" fontId="18" fillId="4" borderId="0" xfId="0" applyFont="1" applyFill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13" xfId="0" applyFont="1" applyBorder="1"/>
    <xf numFmtId="0" fontId="25" fillId="0" borderId="6" xfId="0" applyFont="1" applyBorder="1"/>
    <xf numFmtId="165" fontId="25" fillId="0" borderId="6" xfId="0" applyNumberFormat="1" applyFont="1" applyBorder="1"/>
    <xf numFmtId="0" fontId="25" fillId="0" borderId="6" xfId="0" applyFont="1" applyBorder="1" applyAlignment="1">
      <alignment horizontal="left" indent="1"/>
    </xf>
    <xf numFmtId="167" fontId="25" fillId="0" borderId="6" xfId="0" applyNumberFormat="1" applyFont="1" applyBorder="1"/>
    <xf numFmtId="0" fontId="25" fillId="0" borderId="3" xfId="0" applyFont="1" applyBorder="1" applyAlignment="1">
      <alignment horizontal="left" indent="1"/>
    </xf>
    <xf numFmtId="167" fontId="25" fillId="0" borderId="3" xfId="0" applyNumberFormat="1" applyFont="1" applyBorder="1"/>
    <xf numFmtId="0" fontId="25" fillId="0" borderId="3" xfId="0" applyFont="1" applyBorder="1"/>
    <xf numFmtId="0" fontId="25" fillId="0" borderId="5" xfId="0" applyFont="1" applyBorder="1"/>
    <xf numFmtId="165" fontId="25" fillId="0" borderId="3" xfId="0" applyNumberFormat="1" applyFont="1" applyBorder="1"/>
    <xf numFmtId="0" fontId="27" fillId="0" borderId="0" xfId="0" applyFont="1"/>
    <xf numFmtId="0" fontId="26" fillId="0" borderId="0" xfId="0" applyFont="1" applyAlignment="1">
      <alignment horizontal="center"/>
    </xf>
    <xf numFmtId="0" fontId="26" fillId="0" borderId="6" xfId="0" applyFont="1" applyBorder="1"/>
    <xf numFmtId="165" fontId="26" fillId="0" borderId="6" xfId="0" applyNumberFormat="1" applyFont="1" applyBorder="1"/>
    <xf numFmtId="165" fontId="24" fillId="0" borderId="5" xfId="0" applyNumberFormat="1" applyFont="1" applyBorder="1"/>
    <xf numFmtId="0" fontId="18" fillId="12" borderId="19" xfId="0" applyFont="1" applyFill="1" applyBorder="1" applyAlignment="1">
      <alignment horizontal="center"/>
    </xf>
    <xf numFmtId="3" fontId="28" fillId="14" borderId="23" xfId="0" applyNumberFormat="1" applyFont="1" applyFill="1" applyBorder="1" applyAlignment="1">
      <alignment horizontal="center"/>
    </xf>
    <xf numFmtId="0" fontId="29" fillId="14" borderId="26" xfId="0" applyFont="1" applyFill="1" applyBorder="1" applyAlignment="1">
      <alignment horizontal="center"/>
    </xf>
    <xf numFmtId="0" fontId="32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indent="1"/>
    </xf>
    <xf numFmtId="3" fontId="28" fillId="14" borderId="23" xfId="0" applyNumberFormat="1" applyFont="1" applyFill="1" applyBorder="1" applyAlignment="1">
      <alignment horizontal="center" indent="1"/>
    </xf>
    <xf numFmtId="168" fontId="28" fillId="14" borderId="23" xfId="0" applyNumberFormat="1" applyFont="1" applyFill="1" applyBorder="1" applyAlignment="1">
      <alignment horizontal="center"/>
    </xf>
    <xf numFmtId="0" fontId="18" fillId="13" borderId="40" xfId="0" applyFont="1" applyFill="1" applyBorder="1" applyAlignment="1">
      <alignment horizontal="center"/>
    </xf>
    <xf numFmtId="3" fontId="30" fillId="15" borderId="41" xfId="0" applyNumberFormat="1" applyFont="1" applyFill="1" applyBorder="1" applyAlignment="1">
      <alignment horizontal="center"/>
    </xf>
    <xf numFmtId="0" fontId="31" fillId="15" borderId="42" xfId="0" applyFont="1" applyFill="1" applyBorder="1" applyAlignment="1">
      <alignment horizontal="center"/>
    </xf>
    <xf numFmtId="0" fontId="18" fillId="13" borderId="43" xfId="0" applyFont="1" applyFill="1" applyBorder="1" applyAlignment="1">
      <alignment horizontal="center"/>
    </xf>
    <xf numFmtId="0" fontId="31" fillId="15" borderId="45" xfId="0" applyFont="1" applyFill="1" applyBorder="1" applyAlignment="1">
      <alignment horizontal="center"/>
    </xf>
    <xf numFmtId="168" fontId="30" fillId="15" borderId="41" xfId="0" applyNumberFormat="1" applyFont="1" applyFill="1" applyBorder="1" applyAlignment="1">
      <alignment horizontal="center"/>
    </xf>
    <xf numFmtId="4" fontId="30" fillId="15" borderId="44" xfId="0" applyNumberFormat="1" applyFont="1" applyFill="1" applyBorder="1" applyAlignment="1">
      <alignment horizontal="center"/>
    </xf>
    <xf numFmtId="0" fontId="33" fillId="12" borderId="0" xfId="0" applyFont="1" applyFill="1" applyAlignment="1">
      <alignment horizontal="left" vertical="center" indent="1"/>
    </xf>
    <xf numFmtId="0" fontId="11" fillId="0" borderId="0" xfId="0" applyFont="1"/>
    <xf numFmtId="0" fontId="34" fillId="13" borderId="0" xfId="0" applyFont="1" applyFill="1" applyAlignment="1">
      <alignment horizontal="left" vertical="center" indent="1"/>
    </xf>
    <xf numFmtId="0" fontId="35" fillId="0" borderId="0" xfId="0" applyFont="1"/>
    <xf numFmtId="0" fontId="41" fillId="13" borderId="0" xfId="0" applyFont="1" applyFill="1" applyAlignment="1">
      <alignment horizontal="left" vertical="center" indent="1"/>
    </xf>
    <xf numFmtId="0" fontId="42" fillId="0" borderId="0" xfId="0" applyFont="1"/>
    <xf numFmtId="0" fontId="3" fillId="12" borderId="0" xfId="0" applyFont="1" applyFill="1" applyAlignment="1">
      <alignment horizontal="left" indent="1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2" fillId="16" borderId="0" xfId="0" applyFont="1" applyFill="1"/>
    <xf numFmtId="0" fontId="46" fillId="14" borderId="26" xfId="0" applyFont="1" applyFill="1" applyBorder="1" applyAlignment="1">
      <alignment horizontal="center"/>
    </xf>
    <xf numFmtId="0" fontId="46" fillId="14" borderId="25" xfId="0" applyFont="1" applyFill="1" applyBorder="1" applyAlignment="1">
      <alignment horizontal="center"/>
    </xf>
    <xf numFmtId="0" fontId="42" fillId="0" borderId="5" xfId="0" applyFont="1" applyBorder="1"/>
    <xf numFmtId="0" fontId="42" fillId="0" borderId="35" xfId="0" applyFont="1" applyBorder="1"/>
    <xf numFmtId="0" fontId="42" fillId="0" borderId="37" xfId="0" applyFont="1" applyBorder="1"/>
    <xf numFmtId="0" fontId="49" fillId="0" borderId="0" xfId="0" applyFont="1"/>
    <xf numFmtId="0" fontId="3" fillId="13" borderId="0" xfId="0" applyFont="1" applyFill="1" applyAlignment="1">
      <alignment horizontal="left" indent="1"/>
    </xf>
    <xf numFmtId="0" fontId="42" fillId="0" borderId="0" xfId="0" applyFont="1" applyAlignment="1">
      <alignment horizontal="center"/>
    </xf>
    <xf numFmtId="0" fontId="51" fillId="12" borderId="0" xfId="0" applyFont="1" applyFill="1" applyAlignment="1">
      <alignment horizontal="left" indent="1"/>
    </xf>
    <xf numFmtId="0" fontId="51" fillId="12" borderId="0" xfId="0" applyFont="1" applyFill="1" applyAlignment="1">
      <alignment vertical="center"/>
    </xf>
    <xf numFmtId="0" fontId="55" fillId="0" borderId="3" xfId="0" applyFont="1" applyBorder="1" applyAlignment="1">
      <alignment horizontal="center"/>
    </xf>
    <xf numFmtId="168" fontId="37" fillId="0" borderId="3" xfId="0" applyNumberFormat="1" applyFont="1" applyBorder="1" applyAlignment="1">
      <alignment horizontal="left"/>
    </xf>
    <xf numFmtId="0" fontId="14" fillId="12" borderId="22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3" borderId="29" xfId="0" applyFont="1" applyFill="1" applyBorder="1" applyAlignment="1">
      <alignment horizontal="center" vertical="center"/>
    </xf>
    <xf numFmtId="0" fontId="56" fillId="16" borderId="0" xfId="0" applyFont="1" applyFill="1" applyAlignment="1">
      <alignment vertical="center"/>
    </xf>
    <xf numFmtId="0" fontId="57" fillId="0" borderId="0" xfId="0" applyFont="1" applyAlignment="1">
      <alignment vertical="center"/>
    </xf>
    <xf numFmtId="0" fontId="58" fillId="0" borderId="36" xfId="0" applyFont="1" applyBorder="1"/>
    <xf numFmtId="0" fontId="59" fillId="0" borderId="35" xfId="0" applyFont="1" applyBorder="1"/>
    <xf numFmtId="0" fontId="60" fillId="0" borderId="36" xfId="0" applyFont="1" applyBorder="1"/>
    <xf numFmtId="169" fontId="59" fillId="0" borderId="35" xfId="0" applyNumberFormat="1" applyFont="1" applyBorder="1"/>
    <xf numFmtId="0" fontId="8" fillId="13" borderId="0" xfId="0" applyFont="1" applyFill="1" applyAlignment="1">
      <alignment horizontal="left" indent="1"/>
    </xf>
    <xf numFmtId="0" fontId="60" fillId="0" borderId="36" xfId="0" applyFont="1" applyBorder="1" applyAlignment="1">
      <alignment horizontal="left" indent="1"/>
    </xf>
    <xf numFmtId="0" fontId="43" fillId="0" borderId="16" xfId="0" applyFont="1" applyBorder="1" applyAlignment="1">
      <alignment horizontal="left"/>
    </xf>
    <xf numFmtId="0" fontId="8" fillId="13" borderId="16" xfId="0" applyFont="1" applyFill="1" applyBorder="1" applyAlignment="1">
      <alignment horizontal="left" indent="1"/>
    </xf>
    <xf numFmtId="4" fontId="59" fillId="17" borderId="36" xfId="0" applyNumberFormat="1" applyFont="1" applyFill="1" applyBorder="1" applyAlignment="1">
      <alignment horizontal="right"/>
    </xf>
    <xf numFmtId="4" fontId="58" fillId="0" borderId="36" xfId="0" applyNumberFormat="1" applyFont="1" applyBorder="1" applyAlignment="1">
      <alignment horizontal="right"/>
    </xf>
    <xf numFmtId="0" fontId="8" fillId="12" borderId="36" xfId="0" applyFont="1" applyFill="1" applyBorder="1" applyAlignment="1">
      <alignment horizontal="center"/>
    </xf>
    <xf numFmtId="4" fontId="61" fillId="0" borderId="36" xfId="0" applyNumberFormat="1" applyFont="1" applyBorder="1" applyAlignment="1">
      <alignment horizontal="right"/>
    </xf>
    <xf numFmtId="4" fontId="62" fillId="0" borderId="36" xfId="0" applyNumberFormat="1" applyFont="1" applyBorder="1" applyAlignment="1">
      <alignment horizontal="righ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8" fillId="14" borderId="35" xfId="0" applyFont="1" applyFill="1" applyBorder="1" applyAlignment="1">
      <alignment horizontal="center"/>
    </xf>
    <xf numFmtId="0" fontId="38" fillId="14" borderId="37" xfId="0" applyFont="1" applyFill="1" applyBorder="1" applyAlignment="1">
      <alignment horizontal="center"/>
    </xf>
    <xf numFmtId="0" fontId="64" fillId="15" borderId="32" xfId="0" applyFont="1" applyFill="1" applyBorder="1" applyAlignment="1">
      <alignment horizontal="center"/>
    </xf>
    <xf numFmtId="0" fontId="64" fillId="15" borderId="55" xfId="0" applyFont="1" applyFill="1" applyBorder="1" applyAlignment="1">
      <alignment horizontal="center"/>
    </xf>
    <xf numFmtId="0" fontId="66" fillId="0" borderId="0" xfId="0" applyFont="1" applyAlignment="1">
      <alignment horizontal="left"/>
    </xf>
    <xf numFmtId="1" fontId="67" fillId="0" borderId="0" xfId="0" applyNumberFormat="1" applyFont="1" applyAlignment="1">
      <alignment horizontal="center"/>
    </xf>
    <xf numFmtId="40" fontId="14" fillId="7" borderId="0" xfId="0" applyNumberFormat="1" applyFont="1" applyFill="1" applyAlignment="1">
      <alignment horizontal="left" vertical="center"/>
    </xf>
    <xf numFmtId="0" fontId="33" fillId="12" borderId="0" xfId="0" applyFont="1" applyFill="1" applyAlignment="1">
      <alignment vertical="center"/>
    </xf>
    <xf numFmtId="0" fontId="47" fillId="15" borderId="45" xfId="0" applyFont="1" applyFill="1" applyBorder="1" applyAlignment="1">
      <alignment horizontal="center"/>
    </xf>
    <xf numFmtId="40" fontId="3" fillId="12" borderId="0" xfId="0" applyNumberFormat="1" applyFont="1" applyFill="1" applyAlignment="1">
      <alignment horizontal="center"/>
    </xf>
    <xf numFmtId="40" fontId="45" fillId="17" borderId="39" xfId="0" applyNumberFormat="1" applyFont="1" applyFill="1" applyBorder="1" applyAlignment="1">
      <alignment horizontal="center" vertical="center"/>
    </xf>
    <xf numFmtId="40" fontId="46" fillId="16" borderId="48" xfId="0" applyNumberFormat="1" applyFont="1" applyFill="1" applyBorder="1" applyAlignment="1">
      <alignment horizontal="center" vertical="center"/>
    </xf>
    <xf numFmtId="40" fontId="68" fillId="12" borderId="50" xfId="0" applyNumberFormat="1" applyFont="1" applyFill="1" applyBorder="1" applyAlignment="1">
      <alignment horizontal="center" vertical="center"/>
    </xf>
    <xf numFmtId="40" fontId="44" fillId="17" borderId="39" xfId="0" applyNumberFormat="1" applyFont="1" applyFill="1" applyBorder="1" applyAlignment="1">
      <alignment horizontal="center" vertical="center"/>
    </xf>
    <xf numFmtId="40" fontId="42" fillId="0" borderId="3" xfId="0" applyNumberFormat="1" applyFont="1" applyBorder="1" applyAlignment="1">
      <alignment horizontal="center"/>
    </xf>
    <xf numFmtId="40" fontId="42" fillId="0" borderId="16" xfId="0" applyNumberFormat="1" applyFont="1" applyBorder="1"/>
    <xf numFmtId="40" fontId="42" fillId="0" borderId="0" xfId="0" applyNumberFormat="1" applyFont="1"/>
    <xf numFmtId="40" fontId="3" fillId="12" borderId="19" xfId="0" applyNumberFormat="1" applyFont="1" applyFill="1" applyBorder="1" applyAlignment="1">
      <alignment horizontal="center"/>
    </xf>
    <xf numFmtId="40" fontId="3" fillId="13" borderId="40" xfId="0" applyNumberFormat="1" applyFont="1" applyFill="1" applyBorder="1" applyAlignment="1">
      <alignment horizontal="center"/>
    </xf>
    <xf numFmtId="40" fontId="42" fillId="0" borderId="6" xfId="0" applyNumberFormat="1" applyFont="1" applyBorder="1"/>
    <xf numFmtId="40" fontId="45" fillId="14" borderId="23" xfId="0" applyNumberFormat="1" applyFont="1" applyFill="1" applyBorder="1" applyAlignment="1">
      <alignment horizontal="center" indent="1"/>
    </xf>
    <xf numFmtId="40" fontId="45" fillId="14" borderId="23" xfId="0" applyNumberFormat="1" applyFont="1" applyFill="1" applyBorder="1" applyAlignment="1">
      <alignment horizontal="center"/>
    </xf>
    <xf numFmtId="40" fontId="39" fillId="15" borderId="41" xfId="0" applyNumberFormat="1" applyFont="1" applyFill="1" applyBorder="1" applyAlignment="1">
      <alignment horizontal="center"/>
    </xf>
    <xf numFmtId="40" fontId="46" fillId="14" borderId="26" xfId="0" applyNumberFormat="1" applyFont="1" applyFill="1" applyBorder="1" applyAlignment="1">
      <alignment horizontal="center"/>
    </xf>
    <xf numFmtId="40" fontId="47" fillId="15" borderId="42" xfId="0" applyNumberFormat="1" applyFont="1" applyFill="1" applyBorder="1" applyAlignment="1">
      <alignment horizontal="center"/>
    </xf>
    <xf numFmtId="40" fontId="43" fillId="14" borderId="51" xfId="0" applyNumberFormat="1" applyFont="1" applyFill="1" applyBorder="1" applyAlignment="1">
      <alignment horizontal="center" indent="1"/>
    </xf>
    <xf numFmtId="40" fontId="43" fillId="14" borderId="27" xfId="0" applyNumberFormat="1" applyFont="1" applyFill="1" applyBorder="1" applyAlignment="1">
      <alignment horizontal="center"/>
    </xf>
    <xf numFmtId="40" fontId="44" fillId="15" borderId="31" xfId="0" applyNumberFormat="1" applyFont="1" applyFill="1" applyBorder="1" applyAlignment="1">
      <alignment horizontal="center"/>
    </xf>
    <xf numFmtId="40" fontId="44" fillId="15" borderId="33" xfId="0" applyNumberFormat="1" applyFont="1" applyFill="1" applyBorder="1" applyAlignment="1">
      <alignment horizontal="center"/>
    </xf>
    <xf numFmtId="40" fontId="43" fillId="0" borderId="0" xfId="0" applyNumberFormat="1" applyFont="1" applyAlignment="1">
      <alignment horizontal="center"/>
    </xf>
    <xf numFmtId="40" fontId="42" fillId="0" borderId="3" xfId="0" applyNumberFormat="1" applyFont="1" applyBorder="1"/>
    <xf numFmtId="40" fontId="3" fillId="12" borderId="3" xfId="0" applyNumberFormat="1" applyFont="1" applyFill="1" applyBorder="1" applyAlignment="1">
      <alignment horizontal="left" indent="1"/>
    </xf>
    <xf numFmtId="40" fontId="3" fillId="12" borderId="3" xfId="0" applyNumberFormat="1" applyFont="1" applyFill="1" applyBorder="1" applyAlignment="1">
      <alignment horizontal="center"/>
    </xf>
    <xf numFmtId="40" fontId="3" fillId="12" borderId="46" xfId="0" applyNumberFormat="1" applyFont="1" applyFill="1" applyBorder="1" applyAlignment="1">
      <alignment horizontal="center"/>
    </xf>
    <xf numFmtId="40" fontId="3" fillId="13" borderId="38" xfId="0" applyNumberFormat="1" applyFont="1" applyFill="1" applyBorder="1" applyAlignment="1">
      <alignment horizontal="left" indent="1"/>
    </xf>
    <xf numFmtId="40" fontId="3" fillId="13" borderId="5" xfId="0" applyNumberFormat="1" applyFont="1" applyFill="1" applyBorder="1" applyAlignment="1">
      <alignment horizontal="left" indent="1"/>
    </xf>
    <xf numFmtId="40" fontId="48" fillId="0" borderId="20" xfId="0" applyNumberFormat="1" applyFont="1" applyBorder="1" applyAlignment="1">
      <alignment horizontal="left" indent="1"/>
    </xf>
    <xf numFmtId="40" fontId="50" fillId="0" borderId="20" xfId="0" applyNumberFormat="1" applyFont="1" applyBorder="1"/>
    <xf numFmtId="40" fontId="50" fillId="0" borderId="3" xfId="0" applyNumberFormat="1" applyFont="1" applyBorder="1"/>
    <xf numFmtId="40" fontId="45" fillId="0" borderId="20" xfId="0" applyNumberFormat="1" applyFont="1" applyBorder="1"/>
    <xf numFmtId="40" fontId="42" fillId="0" borderId="20" xfId="0" applyNumberFormat="1" applyFont="1" applyBorder="1" applyAlignment="1">
      <alignment horizontal="left" indent="2"/>
    </xf>
    <xf numFmtId="40" fontId="42" fillId="0" borderId="20" xfId="0" applyNumberFormat="1" applyFont="1" applyBorder="1"/>
    <xf numFmtId="40" fontId="69" fillId="0" borderId="20" xfId="0" applyNumberFormat="1" applyFont="1" applyBorder="1"/>
    <xf numFmtId="40" fontId="50" fillId="0" borderId="5" xfId="0" applyNumberFormat="1" applyFont="1" applyBorder="1"/>
    <xf numFmtId="40" fontId="50" fillId="0" borderId="20" xfId="0" applyNumberFormat="1" applyFont="1" applyBorder="1" applyAlignment="1">
      <alignment horizontal="left" indent="1"/>
    </xf>
    <xf numFmtId="40" fontId="50" fillId="0" borderId="6" xfId="0" applyNumberFormat="1" applyFont="1" applyBorder="1"/>
    <xf numFmtId="40" fontId="48" fillId="0" borderId="35" xfId="0" applyNumberFormat="1" applyFont="1" applyBorder="1" applyAlignment="1">
      <alignment horizontal="left" indent="1"/>
    </xf>
    <xf numFmtId="40" fontId="50" fillId="0" borderId="35" xfId="0" applyNumberFormat="1" applyFont="1" applyBorder="1"/>
    <xf numFmtId="40" fontId="45" fillId="0" borderId="35" xfId="0" applyNumberFormat="1" applyFont="1" applyBorder="1"/>
    <xf numFmtId="40" fontId="42" fillId="0" borderId="5" xfId="0" applyNumberFormat="1" applyFont="1" applyBorder="1" applyAlignment="1">
      <alignment horizontal="left" indent="2"/>
    </xf>
    <xf numFmtId="40" fontId="42" fillId="0" borderId="5" xfId="0" applyNumberFormat="1" applyFont="1" applyBorder="1"/>
    <xf numFmtId="40" fontId="69" fillId="0" borderId="5" xfId="0" applyNumberFormat="1" applyFont="1" applyBorder="1"/>
    <xf numFmtId="40" fontId="42" fillId="0" borderId="3" xfId="0" applyNumberFormat="1" applyFont="1" applyBorder="1" applyAlignment="1">
      <alignment horizontal="left" indent="1"/>
    </xf>
    <xf numFmtId="40" fontId="3" fillId="13" borderId="27" xfId="0" applyNumberFormat="1" applyFont="1" applyFill="1" applyBorder="1" applyAlignment="1">
      <alignment horizontal="left" indent="1"/>
    </xf>
    <xf numFmtId="40" fontId="3" fillId="13" borderId="0" xfId="0" applyNumberFormat="1" applyFont="1" applyFill="1" applyAlignment="1">
      <alignment horizontal="left" indent="1"/>
    </xf>
    <xf numFmtId="40" fontId="42" fillId="0" borderId="35" xfId="0" applyNumberFormat="1" applyFont="1" applyBorder="1" applyAlignment="1">
      <alignment horizontal="left" indent="2"/>
    </xf>
    <xf numFmtId="40" fontId="42" fillId="0" borderId="35" xfId="0" applyNumberFormat="1" applyFont="1" applyBorder="1"/>
    <xf numFmtId="40" fontId="69" fillId="0" borderId="35" xfId="0" applyNumberFormat="1" applyFont="1" applyBorder="1"/>
    <xf numFmtId="40" fontId="50" fillId="0" borderId="35" xfId="0" applyNumberFormat="1" applyFont="1" applyBorder="1" applyAlignment="1">
      <alignment horizontal="left" indent="1"/>
    </xf>
    <xf numFmtId="40" fontId="3" fillId="13" borderId="25" xfId="0" applyNumberFormat="1" applyFont="1" applyFill="1" applyBorder="1" applyAlignment="1">
      <alignment horizontal="left" indent="1"/>
    </xf>
    <xf numFmtId="40" fontId="3" fillId="13" borderId="6" xfId="0" applyNumberFormat="1" applyFont="1" applyFill="1" applyBorder="1" applyAlignment="1">
      <alignment horizontal="left" indent="1"/>
    </xf>
    <xf numFmtId="40" fontId="42" fillId="0" borderId="35" xfId="0" applyNumberFormat="1" applyFont="1" applyBorder="1" applyAlignment="1">
      <alignment horizontal="left" indent="1"/>
    </xf>
    <xf numFmtId="40" fontId="42" fillId="0" borderId="20" xfId="0" applyNumberFormat="1" applyFont="1" applyBorder="1" applyAlignment="1">
      <alignment horizontal="left" indent="1"/>
    </xf>
    <xf numFmtId="40" fontId="50" fillId="0" borderId="0" xfId="0" applyNumberFormat="1" applyFont="1"/>
    <xf numFmtId="40" fontId="39" fillId="0" borderId="47" xfId="0" applyNumberFormat="1" applyFont="1" applyBorder="1" applyAlignment="1">
      <alignment horizontal="left" indent="1"/>
    </xf>
    <xf numFmtId="40" fontId="39" fillId="0" borderId="47" xfId="0" applyNumberFormat="1" applyFont="1" applyBorder="1"/>
    <xf numFmtId="40" fontId="39" fillId="0" borderId="0" xfId="0" applyNumberFormat="1" applyFont="1"/>
    <xf numFmtId="40" fontId="3" fillId="12" borderId="52" xfId="0" applyNumberFormat="1" applyFont="1" applyFill="1" applyBorder="1" applyAlignment="1">
      <alignment horizontal="center" vertical="center"/>
    </xf>
    <xf numFmtId="40" fontId="3" fillId="12" borderId="49" xfId="0" applyNumberFormat="1" applyFont="1" applyFill="1" applyBorder="1" applyAlignment="1">
      <alignment horizontal="center" vertical="center"/>
    </xf>
    <xf numFmtId="40" fontId="3" fillId="12" borderId="5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indent="1"/>
    </xf>
    <xf numFmtId="40" fontId="43" fillId="14" borderId="0" xfId="0" applyNumberFormat="1" applyFont="1" applyFill="1" applyAlignment="1">
      <alignment horizontal="center"/>
    </xf>
    <xf numFmtId="0" fontId="54" fillId="14" borderId="36" xfId="0" applyFont="1" applyFill="1" applyBorder="1" applyAlignment="1">
      <alignment horizontal="left"/>
    </xf>
    <xf numFmtId="40" fontId="3" fillId="12" borderId="53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42" fillId="0" borderId="0" xfId="0" applyFont="1" applyAlignment="1">
      <alignment horizontal="left" vertical="center"/>
    </xf>
    <xf numFmtId="3" fontId="72" fillId="14" borderId="24" xfId="0" applyNumberFormat="1" applyFont="1" applyFill="1" applyBorder="1" applyAlignment="1">
      <alignment horizontal="center"/>
    </xf>
    <xf numFmtId="3" fontId="72" fillId="14" borderId="0" xfId="0" applyNumberFormat="1" applyFont="1" applyFill="1" applyAlignment="1">
      <alignment horizontal="center"/>
    </xf>
    <xf numFmtId="3" fontId="73" fillId="15" borderId="30" xfId="0" applyNumberFormat="1" applyFont="1" applyFill="1" applyBorder="1" applyAlignment="1">
      <alignment horizontal="center"/>
    </xf>
    <xf numFmtId="0" fontId="74" fillId="16" borderId="0" xfId="0" applyFont="1" applyFill="1"/>
    <xf numFmtId="4" fontId="73" fillId="15" borderId="30" xfId="0" applyNumberFormat="1" applyFont="1" applyFill="1" applyBorder="1" applyAlignment="1">
      <alignment horizontal="center"/>
    </xf>
    <xf numFmtId="40" fontId="76" fillId="18" borderId="0" xfId="0" applyNumberFormat="1" applyFont="1" applyFill="1" applyAlignment="1">
      <alignment horizontal="right"/>
    </xf>
    <xf numFmtId="40" fontId="10" fillId="0" borderId="0" xfId="0" applyNumberFormat="1" applyFont="1" applyAlignment="1">
      <alignment horizontal="left" indent="1"/>
    </xf>
    <xf numFmtId="0" fontId="8" fillId="12" borderId="0" xfId="0" applyFont="1" applyFill="1" applyAlignment="1">
      <alignment horizontal="left" vertical="center" indent="1"/>
    </xf>
    <xf numFmtId="0" fontId="77" fillId="0" borderId="0" xfId="0" applyFont="1" applyAlignment="1">
      <alignment horizontal="left" vertical="center" wrapText="1" indent="1"/>
    </xf>
    <xf numFmtId="0" fontId="12" fillId="13" borderId="0" xfId="0" applyFont="1" applyFill="1" applyAlignment="1">
      <alignment horizontal="center" vertical="center"/>
    </xf>
    <xf numFmtId="0" fontId="77" fillId="16" borderId="59" xfId="0" applyFont="1" applyFill="1" applyBorder="1" applyAlignment="1">
      <alignment horizontal="left" vertical="center" wrapText="1" indent="1"/>
    </xf>
    <xf numFmtId="0" fontId="77" fillId="16" borderId="62" xfId="0" applyFont="1" applyFill="1" applyBorder="1" applyAlignment="1">
      <alignment horizontal="left" vertical="center" wrapText="1" indent="1"/>
    </xf>
    <xf numFmtId="0" fontId="77" fillId="16" borderId="65" xfId="0" applyFont="1" applyFill="1" applyBorder="1" applyAlignment="1">
      <alignment horizontal="left" vertical="center" wrapText="1" indent="1"/>
    </xf>
    <xf numFmtId="0" fontId="39" fillId="16" borderId="57" xfId="0" applyFont="1" applyFill="1" applyBorder="1" applyAlignment="1">
      <alignment horizontal="center" vertical="center"/>
    </xf>
    <xf numFmtId="0" fontId="39" fillId="16" borderId="60" xfId="0" applyFont="1" applyFill="1" applyBorder="1" applyAlignment="1">
      <alignment horizontal="center" vertical="center"/>
    </xf>
    <xf numFmtId="0" fontId="39" fillId="16" borderId="63" xfId="0" applyFont="1" applyFill="1" applyBorder="1" applyAlignment="1">
      <alignment horizontal="center" vertical="center"/>
    </xf>
    <xf numFmtId="0" fontId="45" fillId="17" borderId="68" xfId="0" applyFont="1" applyFill="1" applyBorder="1" applyAlignment="1">
      <alignment horizontal="center" vertical="center"/>
    </xf>
    <xf numFmtId="0" fontId="77" fillId="16" borderId="70" xfId="0" applyFont="1" applyFill="1" applyBorder="1" applyAlignment="1">
      <alignment horizontal="left" vertical="center" wrapText="1" indent="1"/>
    </xf>
    <xf numFmtId="0" fontId="45" fillId="17" borderId="71" xfId="0" applyFont="1" applyFill="1" applyBorder="1" applyAlignment="1">
      <alignment horizontal="center" vertical="center"/>
    </xf>
    <xf numFmtId="0" fontId="77" fillId="16" borderId="73" xfId="0" applyFont="1" applyFill="1" applyBorder="1" applyAlignment="1">
      <alignment horizontal="left" vertical="center" wrapText="1" indent="1"/>
    </xf>
    <xf numFmtId="0" fontId="45" fillId="17" borderId="74" xfId="0" applyFont="1" applyFill="1" applyBorder="1" applyAlignment="1">
      <alignment horizontal="center" vertical="center"/>
    </xf>
    <xf numFmtId="0" fontId="77" fillId="16" borderId="76" xfId="0" applyFont="1" applyFill="1" applyBorder="1" applyAlignment="1">
      <alignment horizontal="left" vertical="center" wrapText="1" indent="1"/>
    </xf>
    <xf numFmtId="0" fontId="3" fillId="12" borderId="56" xfId="0" applyFont="1" applyFill="1" applyBorder="1" applyAlignment="1">
      <alignment horizontal="center" vertical="center"/>
    </xf>
    <xf numFmtId="0" fontId="3" fillId="12" borderId="57" xfId="0" applyFont="1" applyFill="1" applyBorder="1" applyAlignment="1">
      <alignment horizontal="center" vertical="center"/>
    </xf>
    <xf numFmtId="0" fontId="3" fillId="12" borderId="60" xfId="0" applyFont="1" applyFill="1" applyBorder="1" applyAlignment="1">
      <alignment horizontal="center" vertical="center"/>
    </xf>
    <xf numFmtId="0" fontId="3" fillId="12" borderId="63" xfId="0" applyFont="1" applyFill="1" applyBorder="1" applyAlignment="1">
      <alignment horizontal="center" vertical="center"/>
    </xf>
    <xf numFmtId="0" fontId="78" fillId="16" borderId="21" xfId="0" applyFont="1" applyFill="1" applyBorder="1" applyAlignment="1">
      <alignment horizontal="left" vertical="center" indent="1"/>
    </xf>
    <xf numFmtId="0" fontId="78" fillId="16" borderId="17" xfId="0" applyFont="1" applyFill="1" applyBorder="1" applyAlignment="1">
      <alignment horizontal="left" vertical="center" indent="1"/>
    </xf>
    <xf numFmtId="0" fontId="78" fillId="16" borderId="28" xfId="0" applyFont="1" applyFill="1" applyBorder="1" applyAlignment="1">
      <alignment horizontal="left" vertical="center" indent="1"/>
    </xf>
    <xf numFmtId="0" fontId="63" fillId="0" borderId="20" xfId="0" applyFont="1" applyBorder="1" applyAlignment="1">
      <alignment horizontal="left" vertical="center" wrapText="1" indent="1"/>
    </xf>
    <xf numFmtId="0" fontId="63" fillId="0" borderId="0" xfId="0" applyFont="1" applyAlignment="1">
      <alignment horizontal="left" vertical="center" wrapText="1" indent="1"/>
    </xf>
    <xf numFmtId="169" fontId="65" fillId="0" borderId="27" xfId="0" applyNumberFormat="1" applyFont="1" applyBorder="1" applyAlignment="1">
      <alignment horizontal="left" vertical="center" indent="1"/>
    </xf>
    <xf numFmtId="0" fontId="63" fillId="0" borderId="22" xfId="0" applyFont="1" applyBorder="1" applyAlignment="1">
      <alignment horizontal="left" vertical="center" wrapText="1" indent="1"/>
    </xf>
    <xf numFmtId="0" fontId="63" fillId="0" borderId="56" xfId="0" applyFont="1" applyBorder="1" applyAlignment="1">
      <alignment horizontal="left" vertical="center" wrapText="1" indent="1"/>
    </xf>
    <xf numFmtId="0" fontId="40" fillId="0" borderId="51" xfId="0" applyFont="1" applyBorder="1" applyAlignment="1">
      <alignment horizontal="left" vertical="center" indent="1"/>
    </xf>
    <xf numFmtId="0" fontId="63" fillId="0" borderId="21" xfId="0" applyFont="1" applyBorder="1" applyAlignment="1">
      <alignment horizontal="left" vertical="center" wrapText="1" indent="1"/>
    </xf>
    <xf numFmtId="0" fontId="63" fillId="0" borderId="17" xfId="0" applyFont="1" applyBorder="1" applyAlignment="1">
      <alignment horizontal="left" vertical="center" wrapText="1" indent="1"/>
    </xf>
    <xf numFmtId="0" fontId="65" fillId="0" borderId="28" xfId="0" applyFont="1" applyBorder="1" applyAlignment="1">
      <alignment horizontal="left" vertical="center" indent="1"/>
    </xf>
    <xf numFmtId="0" fontId="79" fillId="0" borderId="0" xfId="0" applyFont="1" applyAlignment="1">
      <alignment horizontal="left" vertical="center" wrapText="1" indent="1"/>
    </xf>
    <xf numFmtId="0" fontId="45" fillId="0" borderId="0" xfId="0" applyFont="1" applyAlignment="1">
      <alignment horizontal="left" vertical="center" wrapText="1" indent="1"/>
    </xf>
    <xf numFmtId="0" fontId="35" fillId="0" borderId="0" xfId="0" applyFont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16" borderId="58" xfId="0" applyFont="1" applyFill="1" applyBorder="1" applyAlignment="1">
      <alignment horizontal="left" vertical="center" wrapText="1" indent="1"/>
    </xf>
    <xf numFmtId="0" fontId="69" fillId="16" borderId="61" xfId="0" applyFont="1" applyFill="1" applyBorder="1" applyAlignment="1">
      <alignment horizontal="left" vertical="center" wrapText="1" indent="1"/>
    </xf>
    <xf numFmtId="0" fontId="69" fillId="16" borderId="64" xfId="0" applyFont="1" applyFill="1" applyBorder="1" applyAlignment="1">
      <alignment horizontal="left" vertical="center" wrapText="1" indent="1"/>
    </xf>
    <xf numFmtId="0" fontId="45" fillId="14" borderId="58" xfId="0" applyFont="1" applyFill="1" applyBorder="1" applyAlignment="1">
      <alignment horizontal="left" vertical="center" indent="1"/>
    </xf>
    <xf numFmtId="0" fontId="45" fillId="14" borderId="61" xfId="0" applyFont="1" applyFill="1" applyBorder="1" applyAlignment="1">
      <alignment horizontal="left" vertical="center" indent="1"/>
    </xf>
    <xf numFmtId="0" fontId="45" fillId="14" borderId="64" xfId="0" applyFont="1" applyFill="1" applyBorder="1" applyAlignment="1">
      <alignment horizontal="left" vertical="center" indent="1"/>
    </xf>
    <xf numFmtId="0" fontId="48" fillId="14" borderId="58" xfId="0" applyFont="1" applyFill="1" applyBorder="1" applyAlignment="1">
      <alignment horizontal="left" vertical="center" indent="1"/>
    </xf>
    <xf numFmtId="0" fontId="48" fillId="14" borderId="61" xfId="0" applyFont="1" applyFill="1" applyBorder="1" applyAlignment="1">
      <alignment horizontal="left" vertical="center" indent="1"/>
    </xf>
    <xf numFmtId="0" fontId="48" fillId="14" borderId="64" xfId="0" applyFont="1" applyFill="1" applyBorder="1" applyAlignment="1">
      <alignment horizontal="left" vertical="center" indent="1"/>
    </xf>
    <xf numFmtId="0" fontId="45" fillId="14" borderId="69" xfId="0" applyFont="1" applyFill="1" applyBorder="1" applyAlignment="1">
      <alignment horizontal="left" vertical="center" indent="1"/>
    </xf>
    <xf numFmtId="0" fontId="69" fillId="16" borderId="69" xfId="0" applyFont="1" applyFill="1" applyBorder="1" applyAlignment="1">
      <alignment horizontal="left" vertical="center" wrapText="1" indent="1"/>
    </xf>
    <xf numFmtId="0" fontId="45" fillId="14" borderId="72" xfId="0" applyFont="1" applyFill="1" applyBorder="1" applyAlignment="1">
      <alignment horizontal="left" vertical="center" indent="1"/>
    </xf>
    <xf numFmtId="0" fontId="69" fillId="16" borderId="72" xfId="0" applyFont="1" applyFill="1" applyBorder="1" applyAlignment="1">
      <alignment horizontal="left" vertical="center" wrapText="1" indent="1"/>
    </xf>
    <xf numFmtId="0" fontId="45" fillId="14" borderId="75" xfId="0" applyFont="1" applyFill="1" applyBorder="1" applyAlignment="1">
      <alignment horizontal="left" vertical="center" indent="1"/>
    </xf>
    <xf numFmtId="0" fontId="69" fillId="16" borderId="75" xfId="0" applyFont="1" applyFill="1" applyBorder="1" applyAlignment="1">
      <alignment horizontal="left" vertical="center" wrapText="1" indent="1"/>
    </xf>
    <xf numFmtId="0" fontId="0" fillId="16" borderId="20" xfId="0" applyFill="1" applyBorder="1" applyAlignment="1">
      <alignment horizontal="center" vertical="center"/>
    </xf>
    <xf numFmtId="0" fontId="46" fillId="16" borderId="20" xfId="0" applyFont="1" applyFill="1" applyBorder="1" applyAlignment="1">
      <alignment horizontal="left" vertical="center" indent="1"/>
    </xf>
    <xf numFmtId="0" fontId="0" fillId="16" borderId="0" xfId="0" applyFill="1" applyAlignment="1">
      <alignment horizontal="center" vertical="center"/>
    </xf>
    <xf numFmtId="0" fontId="46" fillId="16" borderId="0" xfId="0" applyFont="1" applyFill="1" applyAlignment="1">
      <alignment horizontal="left" vertical="center" indent="1"/>
    </xf>
    <xf numFmtId="0" fontId="0" fillId="16" borderId="27" xfId="0" applyFill="1" applyBorder="1" applyAlignment="1">
      <alignment horizontal="center" vertical="center"/>
    </xf>
    <xf numFmtId="0" fontId="46" fillId="16" borderId="27" xfId="0" applyFont="1" applyFill="1" applyBorder="1" applyAlignment="1">
      <alignment horizontal="left" vertical="center" indent="1"/>
    </xf>
    <xf numFmtId="0" fontId="39" fillId="15" borderId="69" xfId="0" applyFont="1" applyFill="1" applyBorder="1" applyAlignment="1">
      <alignment horizontal="left" vertical="center" indent="1"/>
    </xf>
    <xf numFmtId="0" fontId="39" fillId="15" borderId="72" xfId="0" applyFont="1" applyFill="1" applyBorder="1" applyAlignment="1">
      <alignment horizontal="left" vertical="center" indent="1"/>
    </xf>
    <xf numFmtId="0" fontId="39" fillId="15" borderId="75" xfId="0" applyFont="1" applyFill="1" applyBorder="1" applyAlignment="1">
      <alignment horizontal="left" vertical="center" indent="1"/>
    </xf>
    <xf numFmtId="4" fontId="80" fillId="17" borderId="77" xfId="0" applyNumberFormat="1" applyFont="1" applyFill="1" applyBorder="1" applyAlignment="1">
      <alignment horizontal="right" vertical="center"/>
    </xf>
    <xf numFmtId="4" fontId="45" fillId="16" borderId="56" xfId="0" applyNumberFormat="1" applyFont="1" applyFill="1" applyBorder="1" applyAlignment="1">
      <alignment horizontal="right" vertical="center"/>
    </xf>
    <xf numFmtId="0" fontId="3" fillId="13" borderId="56" xfId="0" applyFont="1" applyFill="1" applyBorder="1" applyAlignment="1">
      <alignment horizontal="center" vertical="center"/>
    </xf>
    <xf numFmtId="4" fontId="45" fillId="16" borderId="78" xfId="0" applyNumberFormat="1" applyFont="1" applyFill="1" applyBorder="1" applyAlignment="1">
      <alignment horizontal="right" vertical="center"/>
    </xf>
    <xf numFmtId="4" fontId="13" fillId="16" borderId="51" xfId="0" applyNumberFormat="1" applyFont="1" applyFill="1" applyBorder="1" applyAlignment="1">
      <alignment horizontal="right" vertical="center"/>
    </xf>
    <xf numFmtId="0" fontId="3" fillId="13" borderId="0" xfId="0" applyFont="1" applyFill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3" fillId="13" borderId="60" xfId="0" applyFont="1" applyFill="1" applyBorder="1" applyAlignment="1">
      <alignment horizontal="center" vertical="center"/>
    </xf>
    <xf numFmtId="0" fontId="3" fillId="13" borderId="63" xfId="0" applyFont="1" applyFill="1" applyBorder="1" applyAlignment="1">
      <alignment horizontal="center" vertical="center"/>
    </xf>
    <xf numFmtId="0" fontId="39" fillId="15" borderId="68" xfId="0" applyFont="1" applyFill="1" applyBorder="1" applyAlignment="1">
      <alignment horizontal="center" vertical="center"/>
    </xf>
    <xf numFmtId="0" fontId="39" fillId="15" borderId="71" xfId="0" applyFont="1" applyFill="1" applyBorder="1" applyAlignment="1">
      <alignment horizontal="center" vertical="center"/>
    </xf>
    <xf numFmtId="0" fontId="39" fillId="15" borderId="7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5" fillId="12" borderId="0" xfId="0" applyFont="1" applyFill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3" fillId="12" borderId="0" xfId="0" applyFont="1" applyFill="1" applyAlignment="1">
      <alignment horizontal="left" vertical="center"/>
    </xf>
    <xf numFmtId="0" fontId="81" fillId="0" borderId="79" xfId="0" applyFont="1" applyBorder="1" applyAlignment="1">
      <alignment horizontal="left" vertical="center" wrapText="1"/>
    </xf>
    <xf numFmtId="0" fontId="81" fillId="0" borderId="15" xfId="0" applyFont="1" applyBorder="1" applyAlignment="1">
      <alignment horizontal="left" vertical="center" wrapText="1"/>
    </xf>
    <xf numFmtId="0" fontId="81" fillId="0" borderId="80" xfId="0" applyFont="1" applyBorder="1" applyAlignment="1">
      <alignment horizontal="left" vertical="center" wrapText="1"/>
    </xf>
    <xf numFmtId="0" fontId="81" fillId="0" borderId="14" xfId="0" applyFont="1" applyBorder="1" applyAlignment="1">
      <alignment horizontal="left" vertical="center" wrapText="1"/>
    </xf>
    <xf numFmtId="0" fontId="81" fillId="0" borderId="81" xfId="0" applyFont="1" applyBorder="1" applyAlignment="1">
      <alignment horizontal="left" vertical="center" wrapText="1"/>
    </xf>
    <xf numFmtId="0" fontId="81" fillId="0" borderId="82" xfId="0" applyFont="1" applyBorder="1" applyAlignment="1">
      <alignment horizontal="left" vertical="center" wrapText="1"/>
    </xf>
    <xf numFmtId="40" fontId="9" fillId="10" borderId="5" xfId="0" applyNumberFormat="1" applyFont="1" applyFill="1" applyBorder="1" applyAlignment="1">
      <alignment horizontal="center"/>
    </xf>
    <xf numFmtId="40" fontId="14" fillId="7" borderId="0" xfId="0" applyNumberFormat="1" applyFont="1" applyFill="1" applyAlignment="1">
      <alignment horizontal="center" vertical="center"/>
    </xf>
    <xf numFmtId="40" fontId="5" fillId="6" borderId="0" xfId="0" applyNumberFormat="1" applyFont="1" applyFill="1" applyAlignment="1">
      <alignment horizontal="left" vertical="center"/>
    </xf>
    <xf numFmtId="0" fontId="70" fillId="15" borderId="34" xfId="0" applyFont="1" applyFill="1" applyBorder="1" applyAlignment="1">
      <alignment horizontal="left"/>
    </xf>
    <xf numFmtId="0" fontId="70" fillId="15" borderId="32" xfId="0" applyFont="1" applyFill="1" applyBorder="1" applyAlignment="1">
      <alignment horizontal="left"/>
    </xf>
    <xf numFmtId="40" fontId="71" fillId="10" borderId="66" xfId="0" applyNumberFormat="1" applyFont="1" applyFill="1" applyBorder="1" applyAlignment="1">
      <alignment horizontal="center"/>
    </xf>
    <xf numFmtId="40" fontId="71" fillId="10" borderId="6" xfId="0" applyNumberFormat="1" applyFont="1" applyFill="1" applyBorder="1" applyAlignment="1">
      <alignment horizontal="center"/>
    </xf>
    <xf numFmtId="40" fontId="71" fillId="10" borderId="6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3E7AA-6E55-4031-9EF0-A08BAF849F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>
                <a:latin typeface="Aptos" panose="020B0004020202020204" pitchFamily="34" charset="0"/>
              </a:rPr>
              <a:t>Revenue &amp; Profitability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Summary!$C$76:$L$76</c:f>
              <c:numCache>
                <c:formatCode>#,##0.00_);[Red]\(#,##0.00\)</c:formatCode>
                <c:ptCount val="10"/>
                <c:pt idx="0">
                  <c:v>22015.84</c:v>
                </c:pt>
                <c:pt idx="1">
                  <c:v>29481.29</c:v>
                </c:pt>
                <c:pt idx="2">
                  <c:v>34875.07</c:v>
                </c:pt>
                <c:pt idx="3">
                  <c:v>36182.69</c:v>
                </c:pt>
                <c:pt idx="4">
                  <c:v>34478.230000000003</c:v>
                </c:pt>
                <c:pt idx="5">
                  <c:v>36539.957199999997</c:v>
                </c:pt>
                <c:pt idx="6">
                  <c:v>39465.153776000006</c:v>
                </c:pt>
                <c:pt idx="7">
                  <c:v>42620.366078080006</c:v>
                </c:pt>
                <c:pt idx="8">
                  <c:v>46023.995364326402</c:v>
                </c:pt>
                <c:pt idx="9">
                  <c:v>49243.175039829257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7D8-8480-C1BE6097223A}"/>
            </c:ext>
          </c:extLst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Summary!$C$77:$L$77</c:f>
              <c:numCache>
                <c:formatCode>#,##0.00_);[Red]\(#,##0.00\)</c:formatCode>
                <c:ptCount val="10"/>
                <c:pt idx="0">
                  <c:v>5158.6499999999996</c:v>
                </c:pt>
                <c:pt idx="1">
                  <c:v>5183.62</c:v>
                </c:pt>
                <c:pt idx="2">
                  <c:v>6646.32</c:v>
                </c:pt>
                <c:pt idx="3">
                  <c:v>8272.94</c:v>
                </c:pt>
                <c:pt idx="4">
                  <c:v>6578.82</c:v>
                </c:pt>
                <c:pt idx="5">
                  <c:v>6889.49251</c:v>
                </c:pt>
                <c:pt idx="6">
                  <c:v>7442.651910800003</c:v>
                </c:pt>
                <c:pt idx="7">
                  <c:v>8036.0640636639946</c:v>
                </c:pt>
                <c:pt idx="8">
                  <c:v>8672.9491887571203</c:v>
                </c:pt>
                <c:pt idx="9">
                  <c:v>9277.5556319701209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1-47D8-8480-C1BE6097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106368"/>
        <c:axId val="1081106848"/>
      </c:barChart>
      <c:lineChart>
        <c:grouping val="standard"/>
        <c:varyColors val="0"/>
        <c:ser>
          <c:idx val="2"/>
          <c:order val="2"/>
          <c:tx>
            <c:v>EBITDA Margin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3F35"/>
              </a:solidFill>
              <a:ln w="9525">
                <a:solidFill>
                  <a:srgbClr val="F03F35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03F35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Summary!$C$78:$L$78</c:f>
              <c:numCache>
                <c:formatCode>#,##0.00_);[Red]\(#,##0.00\)</c:formatCode>
                <c:ptCount val="10"/>
                <c:pt idx="0">
                  <c:v>0.23431538383273132</c:v>
                </c:pt>
                <c:pt idx="1">
                  <c:v>0.17582744852752372</c:v>
                </c:pt>
                <c:pt idx="2">
                  <c:v>0.19057510135463526</c:v>
                </c:pt>
                <c:pt idx="3">
                  <c:v>0.22864358620102596</c:v>
                </c:pt>
                <c:pt idx="4">
                  <c:v>0.19081083918751046</c:v>
                </c:pt>
                <c:pt idx="5">
                  <c:v>0.18854681389719857</c:v>
                </c:pt>
                <c:pt idx="6">
                  <c:v>0.18858793641204846</c:v>
                </c:pt>
                <c:pt idx="7">
                  <c:v>0.18854986015235112</c:v>
                </c:pt>
                <c:pt idx="8">
                  <c:v>0.18844407401187074</c:v>
                </c:pt>
                <c:pt idx="9">
                  <c:v>0.18840287256997898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1-47D8-8480-C1BE6097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115008"/>
        <c:axId val="1081111648"/>
      </c:lineChart>
      <c:catAx>
        <c:axId val="108110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FEFE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A893CB"/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rgbClr val="310E5F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106848"/>
        <c:crosses val="autoZero"/>
        <c:auto val="1"/>
        <c:lblAlgn val="ctr"/>
        <c:lblOffset val="100"/>
        <c:noMultiLvlLbl val="0"/>
      </c:catAx>
      <c:valAx>
        <c:axId val="10811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FEFE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A893C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310E5F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106368"/>
        <c:crosses val="autoZero"/>
        <c:crossBetween val="between"/>
      </c:valAx>
      <c:valAx>
        <c:axId val="10811116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EBITDA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solidFill>
              <a:srgbClr val="FDBA3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03F35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115008"/>
        <c:crosses val="max"/>
        <c:crossBetween val="between"/>
      </c:valAx>
      <c:catAx>
        <c:axId val="1081115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08111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>
                <a:latin typeface="Aptos" panose="020B0004020202020204" pitchFamily="34" charset="0"/>
              </a:rPr>
              <a:t>Cash Flow Generation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CFO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Summary!$C$83:$L$83</c:f>
              <c:numCache>
                <c:formatCode>#,##0.00_);[Red]\(#,##0.00\)</c:formatCode>
                <c:ptCount val="10"/>
                <c:pt idx="0">
                  <c:v>3683.35</c:v>
                </c:pt>
                <c:pt idx="1">
                  <c:v>986.49</c:v>
                </c:pt>
                <c:pt idx="2">
                  <c:v>4193.43</c:v>
                </c:pt>
                <c:pt idx="3">
                  <c:v>6103.6</c:v>
                </c:pt>
                <c:pt idx="4">
                  <c:v>4423.96</c:v>
                </c:pt>
                <c:pt idx="5">
                  <c:v>4408.41678394471</c:v>
                </c:pt>
                <c:pt idx="6">
                  <c:v>5189.2575846835789</c:v>
                </c:pt>
                <c:pt idx="7">
                  <c:v>5604.1282271032587</c:v>
                </c:pt>
                <c:pt idx="8">
                  <c:v>6049.2890226987729</c:v>
                </c:pt>
                <c:pt idx="9">
                  <c:v>6570.8818136820901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9-4A98-99D4-4008869139E1}"/>
            </c:ext>
          </c:extLst>
        </c:ser>
        <c:ser>
          <c:idx val="1"/>
          <c:order val="1"/>
          <c:tx>
            <c:v>Capex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Summary!$C$84:$L$84</c:f>
              <c:numCache>
                <c:formatCode>#,##0.00_);[Red]\(#,##0.00\)</c:formatCode>
                <c:ptCount val="10"/>
                <c:pt idx="0">
                  <c:v>281.87</c:v>
                </c:pt>
                <c:pt idx="1">
                  <c:v>538.24</c:v>
                </c:pt>
                <c:pt idx="2">
                  <c:v>1273.3699999999999</c:v>
                </c:pt>
                <c:pt idx="3">
                  <c:v>2199.0100000000002</c:v>
                </c:pt>
                <c:pt idx="4">
                  <c:v>1805.32</c:v>
                </c:pt>
                <c:pt idx="5">
                  <c:v>2515.7970040000005</c:v>
                </c:pt>
                <c:pt idx="6">
                  <c:v>2717.0607643200005</c:v>
                </c:pt>
                <c:pt idx="7">
                  <c:v>2515.2219646848007</c:v>
                </c:pt>
                <c:pt idx="8">
                  <c:v>2716.439721859585</c:v>
                </c:pt>
                <c:pt idx="9">
                  <c:v>2906.5905023897562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9-4A98-99D4-40088691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132288"/>
        <c:axId val="1081132768"/>
      </c:barChart>
      <c:lineChart>
        <c:grouping val="standard"/>
        <c:varyColors val="0"/>
        <c:ser>
          <c:idx val="2"/>
          <c:order val="2"/>
          <c:tx>
            <c:v>FCF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3F35"/>
              </a:solidFill>
              <a:ln w="9525">
                <a:solidFill>
                  <a:srgbClr val="F03F35"/>
                </a:solidFill>
                <a:prstDash val="solid"/>
              </a:ln>
              <a:effectLst/>
            </c:spPr>
          </c:marker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Summary!$C$85:$L$85</c:f>
              <c:numCache>
                <c:formatCode>#,##0.00_);[Red]\(#,##0.00\)</c:formatCode>
                <c:ptCount val="10"/>
                <c:pt idx="0">
                  <c:v>3401.48</c:v>
                </c:pt>
                <c:pt idx="1">
                  <c:v>448.25</c:v>
                </c:pt>
                <c:pt idx="2">
                  <c:v>2920.0600000000004</c:v>
                </c:pt>
                <c:pt idx="3">
                  <c:v>3904.59</c:v>
                </c:pt>
                <c:pt idx="4">
                  <c:v>2618.6400000000003</c:v>
                </c:pt>
                <c:pt idx="5">
                  <c:v>1892.6197799447095</c:v>
                </c:pt>
                <c:pt idx="6">
                  <c:v>2472.1968203635784</c:v>
                </c:pt>
                <c:pt idx="7">
                  <c:v>3088.906262418458</c:v>
                </c:pt>
                <c:pt idx="8">
                  <c:v>3332.8493008391879</c:v>
                </c:pt>
                <c:pt idx="9">
                  <c:v>3664.2913112923338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B9-4A98-99D4-4008869139E1}"/>
            </c:ext>
          </c:extLst>
        </c:ser>
        <c:ser>
          <c:idx val="3"/>
          <c:order val="3"/>
          <c:tx>
            <c:v>Dividends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A893CB"/>
              </a:solidFill>
              <a:ln w="9525">
                <a:solidFill>
                  <a:srgbClr val="A893CB"/>
                </a:solidFill>
                <a:prstDash val="solid"/>
              </a:ln>
              <a:effectLst/>
            </c:spPr>
          </c:marker>
          <c:cat>
            <c:strRef>
              <c:f>Summary!$C$75:$L$75</c:f>
              <c:strCache>
                <c:ptCount val="10"/>
                <c:pt idx="0">
                  <c:v>31.03.2021</c:v>
                </c:pt>
                <c:pt idx="1">
                  <c:v>31.03.2022</c:v>
                </c:pt>
                <c:pt idx="2">
                  <c:v>31.03.2023</c:v>
                </c:pt>
                <c:pt idx="3">
                  <c:v>31.03.2024</c:v>
                </c:pt>
                <c:pt idx="4">
                  <c:v>31.03.2025</c:v>
                </c:pt>
                <c:pt idx="5">
                  <c:v>31.03.2026E</c:v>
                </c:pt>
                <c:pt idx="6">
                  <c:v>31.03.2027E</c:v>
                </c:pt>
                <c:pt idx="7">
                  <c:v>31.03.2028E</c:v>
                </c:pt>
                <c:pt idx="8">
                  <c:v>31.03.2029E</c:v>
                </c:pt>
                <c:pt idx="9">
                  <c:v>31.03.2030E</c:v>
                </c:pt>
              </c:strCache>
            </c:strRef>
          </c:cat>
          <c:val>
            <c:numRef>
              <c:f>Summary!$C$86:$L$86</c:f>
              <c:numCache>
                <c:formatCode>#,##0.00_);[Red]\(#,##0.00\)</c:formatCode>
                <c:ptCount val="10"/>
                <c:pt idx="0">
                  <c:v>499.35</c:v>
                </c:pt>
                <c:pt idx="1">
                  <c:v>1762.8</c:v>
                </c:pt>
                <c:pt idx="2">
                  <c:v>1936.05</c:v>
                </c:pt>
                <c:pt idx="3">
                  <c:v>2550.88</c:v>
                </c:pt>
                <c:pt idx="4">
                  <c:v>3140.21</c:v>
                </c:pt>
                <c:pt idx="5">
                  <c:v>2950.1038036875998</c:v>
                </c:pt>
                <c:pt idx="6">
                  <c:v>3184.852142912609</c:v>
                </c:pt>
                <c:pt idx="7">
                  <c:v>3436.1935510221138</c:v>
                </c:pt>
                <c:pt idx="8">
                  <c:v>3705.4497336142108</c:v>
                </c:pt>
                <c:pt idx="9">
                  <c:v>3954.5313443653454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B9-4A98-99D4-40088691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132288"/>
        <c:axId val="1081132768"/>
      </c:lineChart>
      <c:catAx>
        <c:axId val="108113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FEFE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A893CB"/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310E5F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132768"/>
        <c:crosses val="autoZero"/>
        <c:auto val="1"/>
        <c:lblAlgn val="ctr"/>
        <c:lblOffset val="100"/>
        <c:noMultiLvlLbl val="0"/>
      </c:catAx>
      <c:valAx>
        <c:axId val="10811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FEFE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A893C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10E5F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1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75470</xdr:colOff>
      <xdr:row>0</xdr:row>
      <xdr:rowOff>0</xdr:rowOff>
    </xdr:from>
    <xdr:to>
      <xdr:col>7</xdr:col>
      <xdr:colOff>1184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A5D861-8B46-0521-9124-40A9AA5C8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35" b="28269"/>
        <a:stretch>
          <a:fillRect/>
        </a:stretch>
      </xdr:blipFill>
      <xdr:spPr>
        <a:xfrm>
          <a:off x="8943111" y="0"/>
          <a:ext cx="4044271" cy="939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53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2" name="tracelight-bebc3c9b45364e13revenue-&amp;-profitability-trajectory">
          <a:extLst>
            <a:ext uri="{FF2B5EF4-FFF2-40B4-BE49-F238E27FC236}">
              <a16:creationId xmlns:a16="http://schemas.microsoft.com/office/drawing/2014/main" id="{E27825F0-5D45-7614-0DA9-D9BBBC7BD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3" name="tracelight-5597a606742d490ccash-flow-generation-profile">
          <a:extLst>
            <a:ext uri="{FF2B5EF4-FFF2-40B4-BE49-F238E27FC236}">
              <a16:creationId xmlns:a16="http://schemas.microsoft.com/office/drawing/2014/main" id="{5F7703F0-660B-9209-B8BC-C5B75AB33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34F633-369B-4726-84AE-9D240BEE8C86}">
  <we:reference id="wa200008399" version="1.0.0.4" store="en-US" storeType="OMEX"/>
  <we:alternateReferences>
    <we:reference id="wa200008399" version="1.0.0.4" store="wa200008399" storeType="OMEX"/>
  </we:alternateReferences>
  <we:properties>
    <we:property name="ProjectMetadata" value="&quot;{\&quot;projectId\&quot;:\&quot;a22dd5d2-4c4e-4ac9-bc0e-0b9950deee10\&quot;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C03E-D3C6-44CA-9416-AEE108A65502}">
  <sheetPr>
    <tabColor rgb="FFFF0000"/>
  </sheetPr>
  <dimension ref="B1:G50"/>
  <sheetViews>
    <sheetView showGridLines="0" zoomScale="83" zoomScaleNormal="7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7" sqref="C27"/>
    </sheetView>
  </sheetViews>
  <sheetFormatPr defaultRowHeight="15.75" customHeight="1" x14ac:dyDescent="0.25"/>
  <cols>
    <col min="1" max="1" width="3.44140625" customWidth="1"/>
    <col min="2" max="2" width="30.5546875" bestFit="1" customWidth="1"/>
    <col min="3" max="3" width="64.21875" bestFit="1" customWidth="1"/>
    <col min="4" max="5" width="23.5546875" customWidth="1"/>
    <col min="6" max="6" width="5.44140625" customWidth="1"/>
    <col min="7" max="7" width="48.109375" customWidth="1"/>
  </cols>
  <sheetData>
    <row r="1" spans="2:7" ht="73.5" customHeight="1" x14ac:dyDescent="0.25">
      <c r="B1" s="316" t="s">
        <v>265</v>
      </c>
      <c r="C1" s="316"/>
      <c r="D1" s="316"/>
      <c r="E1" s="316"/>
      <c r="F1" s="316"/>
      <c r="G1" s="316"/>
    </row>
    <row r="2" spans="2:7" ht="21.95" customHeight="1" x14ac:dyDescent="0.25">
      <c r="B2" s="120" t="s">
        <v>266</v>
      </c>
      <c r="C2" s="120"/>
      <c r="D2" s="120"/>
      <c r="E2" s="120"/>
      <c r="F2" s="120"/>
      <c r="G2" s="120"/>
    </row>
    <row r="3" spans="2:7" ht="12" customHeight="1" x14ac:dyDescent="0.25">
      <c r="B3" s="121"/>
      <c r="C3" s="121"/>
      <c r="D3" s="121"/>
      <c r="E3" s="121"/>
      <c r="F3" s="121"/>
      <c r="G3" s="121"/>
    </row>
    <row r="4" spans="2:7" ht="19.5" thickBot="1" x14ac:dyDescent="0.35">
      <c r="B4" s="136" t="s">
        <v>267</v>
      </c>
      <c r="C4" s="122"/>
      <c r="D4" s="122"/>
      <c r="E4" s="122"/>
      <c r="F4" s="122"/>
      <c r="G4" s="122"/>
    </row>
    <row r="5" spans="2:7" ht="15.95" customHeight="1" x14ac:dyDescent="0.25">
      <c r="B5" s="152" t="s">
        <v>268</v>
      </c>
      <c r="C5" s="123"/>
      <c r="D5" s="124"/>
      <c r="E5" s="125" t="s">
        <v>269</v>
      </c>
      <c r="F5" s="126"/>
      <c r="G5" s="126"/>
    </row>
    <row r="6" spans="2:7" s="145" customFormat="1" ht="21" x14ac:dyDescent="0.25">
      <c r="B6" s="140" t="s">
        <v>270</v>
      </c>
      <c r="C6" s="141" t="s">
        <v>240</v>
      </c>
      <c r="D6" s="142" t="s">
        <v>272</v>
      </c>
      <c r="E6" s="143" t="s">
        <v>270</v>
      </c>
      <c r="F6" s="144"/>
      <c r="G6" s="143" t="s">
        <v>273</v>
      </c>
    </row>
    <row r="7" spans="2:7" ht="36" x14ac:dyDescent="0.55000000000000004">
      <c r="B7" s="237">
        <f>'Income Statement &amp; Forecast'!G10</f>
        <v>34478.230000000003</v>
      </c>
      <c r="C7" s="238">
        <f>'Income Statement &amp; Forecast'!G18</f>
        <v>6578.82</v>
      </c>
      <c r="D7" s="238">
        <f>'Income Statement &amp; Forecast'!G31</f>
        <v>3709.71</v>
      </c>
      <c r="E7" s="239">
        <f>'Income Statement &amp; Forecast'!M10</f>
        <v>49243.175039829257</v>
      </c>
      <c r="F7" s="240"/>
      <c r="G7" s="241">
        <f>'Income Statement &amp; Forecast'!M47</f>
        <v>58.21896571406446</v>
      </c>
    </row>
    <row r="8" spans="2:7" ht="15.95" customHeight="1" x14ac:dyDescent="0.25">
      <c r="B8" s="128" t="s">
        <v>271</v>
      </c>
      <c r="C8" s="129" t="s">
        <v>271</v>
      </c>
      <c r="D8" s="129" t="s">
        <v>271</v>
      </c>
      <c r="E8" s="169" t="s">
        <v>271</v>
      </c>
      <c r="F8" s="127"/>
      <c r="G8" s="169" t="s">
        <v>274</v>
      </c>
    </row>
    <row r="9" spans="2:7" ht="15.95" customHeight="1" x14ac:dyDescent="0.25">
      <c r="B9" s="130"/>
      <c r="C9" s="130"/>
      <c r="D9" s="135"/>
      <c r="E9" s="121"/>
      <c r="F9" s="121"/>
      <c r="G9" s="121"/>
    </row>
    <row r="10" spans="2:7" ht="21" x14ac:dyDescent="0.35">
      <c r="B10" s="138" t="s">
        <v>275</v>
      </c>
      <c r="C10" s="139">
        <f>('Income Statement &amp; Forecast'!M10/'Income Statement &amp; Forecast'!G10)^(1/5)-1</f>
        <v>7.3891035198080379E-2</v>
      </c>
      <c r="D10" s="138" t="s">
        <v>276</v>
      </c>
      <c r="E10" s="139">
        <f>('Income Statement &amp; Forecast'!M31/'Income Statement &amp; Forecast'!G31)^(1/5)-1</f>
        <v>8.7755791543544737E-2</v>
      </c>
      <c r="F10" s="121"/>
    </row>
    <row r="11" spans="2:7" ht="15.95" customHeight="1" x14ac:dyDescent="0.25">
      <c r="B11" s="121"/>
      <c r="C11" s="121"/>
      <c r="D11" s="121"/>
      <c r="E11" s="121"/>
      <c r="F11" s="121"/>
      <c r="G11" s="121"/>
    </row>
    <row r="12" spans="2:7" ht="18.75" x14ac:dyDescent="0.25">
      <c r="B12" s="137" t="s">
        <v>203</v>
      </c>
      <c r="C12" s="122"/>
      <c r="D12" s="122"/>
      <c r="E12" s="122"/>
      <c r="F12" s="122"/>
      <c r="G12" s="122"/>
    </row>
    <row r="13" spans="2:7" ht="17.25" x14ac:dyDescent="0.3">
      <c r="B13" s="146" t="s">
        <v>204</v>
      </c>
      <c r="C13" s="147" t="s">
        <v>205</v>
      </c>
      <c r="D13" s="131"/>
      <c r="E13" s="131"/>
      <c r="F13" s="131"/>
      <c r="G13" s="132"/>
    </row>
    <row r="14" spans="2:7" ht="17.25" x14ac:dyDescent="0.3">
      <c r="B14" s="148" t="s">
        <v>206</v>
      </c>
      <c r="C14" s="147" t="s">
        <v>207</v>
      </c>
      <c r="D14" s="131"/>
      <c r="E14" s="131"/>
      <c r="F14" s="131"/>
      <c r="G14" s="132"/>
    </row>
    <row r="15" spans="2:7" ht="17.25" x14ac:dyDescent="0.3">
      <c r="B15" s="148" t="s">
        <v>208</v>
      </c>
      <c r="C15" s="147" t="s">
        <v>209</v>
      </c>
      <c r="D15" s="131"/>
      <c r="E15" s="131"/>
      <c r="F15" s="131"/>
      <c r="G15" s="132"/>
    </row>
    <row r="16" spans="2:7" ht="17.25" x14ac:dyDescent="0.3">
      <c r="B16" s="148" t="s">
        <v>210</v>
      </c>
      <c r="C16" s="147" t="s">
        <v>211</v>
      </c>
      <c r="D16" s="131"/>
      <c r="E16" s="131"/>
      <c r="F16" s="131"/>
      <c r="G16" s="132"/>
    </row>
    <row r="17" spans="2:7" ht="17.25" x14ac:dyDescent="0.3">
      <c r="B17" s="148" t="s">
        <v>212</v>
      </c>
      <c r="C17" s="147" t="s">
        <v>213</v>
      </c>
      <c r="D17" s="131"/>
      <c r="E17" s="131"/>
      <c r="F17" s="131"/>
      <c r="G17" s="132"/>
    </row>
    <row r="18" spans="2:7" ht="17.25" x14ac:dyDescent="0.3">
      <c r="B18" s="148" t="s">
        <v>214</v>
      </c>
      <c r="C18" s="149">
        <f ca="1">TODAY()</f>
        <v>46151</v>
      </c>
      <c r="D18" s="131"/>
      <c r="E18" s="131"/>
      <c r="F18" s="131"/>
      <c r="G18" s="132"/>
    </row>
    <row r="19" spans="2:7" ht="15.95" customHeight="1" x14ac:dyDescent="0.25">
      <c r="B19" s="133"/>
      <c r="C19" s="121"/>
      <c r="D19" s="121"/>
      <c r="E19" s="121"/>
      <c r="F19" s="121"/>
      <c r="G19" s="121"/>
    </row>
    <row r="20" spans="2:7" ht="15.95" customHeight="1" x14ac:dyDescent="0.25">
      <c r="B20" s="137" t="s">
        <v>215</v>
      </c>
      <c r="C20" s="122"/>
      <c r="D20" s="122"/>
      <c r="E20" s="122"/>
      <c r="F20" s="122"/>
      <c r="G20" s="122"/>
    </row>
    <row r="21" spans="2:7" ht="17.25" x14ac:dyDescent="0.3">
      <c r="B21" s="150" t="s">
        <v>216</v>
      </c>
      <c r="C21" s="150" t="s">
        <v>217</v>
      </c>
      <c r="D21" s="134"/>
      <c r="E21" s="134"/>
      <c r="F21" s="134"/>
      <c r="G21" s="134"/>
    </row>
    <row r="22" spans="2:7" ht="17.25" x14ac:dyDescent="0.3">
      <c r="B22" s="151" t="str">
        <f>HYPERLINK("#'Cover Page'!B1","→  Cover Page")</f>
        <v>→  Cover Page</v>
      </c>
      <c r="C22" s="147" t="s">
        <v>218</v>
      </c>
      <c r="D22" s="131"/>
      <c r="E22" s="131"/>
      <c r="F22" s="131"/>
      <c r="G22" s="132"/>
    </row>
    <row r="23" spans="2:7" ht="17.25" x14ac:dyDescent="0.3">
      <c r="B23" s="151" t="str">
        <f>HYPERLINK("#Summary!B1","→  Summary")</f>
        <v>→  Summary</v>
      </c>
      <c r="C23" s="147" t="s">
        <v>219</v>
      </c>
      <c r="D23" s="131"/>
      <c r="E23" s="131"/>
      <c r="F23" s="131"/>
      <c r="G23" s="132"/>
    </row>
    <row r="24" spans="2:7" ht="17.25" x14ac:dyDescent="0.3">
      <c r="B24" s="151" t="str">
        <f>HYPERLINK("#Assumptions!B1","→  Assumptions")</f>
        <v>→  Assumptions</v>
      </c>
      <c r="C24" s="147" t="s">
        <v>220</v>
      </c>
      <c r="D24" s="131"/>
      <c r="E24" s="131"/>
      <c r="F24" s="131"/>
      <c r="G24" s="132"/>
    </row>
    <row r="25" spans="2:7" ht="17.25" x14ac:dyDescent="0.3">
      <c r="B25" s="151" t="str">
        <f>HYPERLINK("#'Income Statement &amp; Forecast'!B1","→  Income Statement")</f>
        <v>→  Income Statement</v>
      </c>
      <c r="C25" s="147" t="s">
        <v>221</v>
      </c>
      <c r="D25" s="131"/>
      <c r="E25" s="131"/>
      <c r="F25" s="131"/>
      <c r="G25" s="132"/>
    </row>
    <row r="26" spans="2:7" ht="17.25" x14ac:dyDescent="0.3">
      <c r="B26" s="151" t="str">
        <f>HYPERLINK("#'Balance Sheet &amp; Forecast'!B1","→  Balance Sheet")</f>
        <v>→  Balance Sheet</v>
      </c>
      <c r="C26" s="147" t="s">
        <v>222</v>
      </c>
      <c r="D26" s="131"/>
      <c r="E26" s="131"/>
      <c r="F26" s="131"/>
      <c r="G26" s="132"/>
    </row>
    <row r="27" spans="2:7" ht="17.25" x14ac:dyDescent="0.3">
      <c r="B27" s="151" t="str">
        <f>HYPERLINK("#'Cash Flow Statement &amp; Forecast'!B1","→  Cash Flow Statement")</f>
        <v>→  Cash Flow Statement</v>
      </c>
      <c r="C27" s="147" t="s">
        <v>223</v>
      </c>
      <c r="D27" s="131"/>
      <c r="E27" s="131"/>
      <c r="F27" s="131"/>
      <c r="G27" s="132"/>
    </row>
    <row r="28" spans="2:7" ht="15.95" customHeight="1" x14ac:dyDescent="0.25">
      <c r="B28" s="121"/>
      <c r="C28" s="121"/>
      <c r="D28" s="121"/>
      <c r="E28" s="121"/>
      <c r="F28" s="121"/>
      <c r="G28" s="121"/>
    </row>
    <row r="29" spans="2:7" ht="19.5" thickBot="1" x14ac:dyDescent="0.3">
      <c r="B29" s="137" t="s">
        <v>224</v>
      </c>
      <c r="C29" s="122"/>
      <c r="D29" s="122"/>
      <c r="E29" s="122"/>
      <c r="F29" s="122"/>
      <c r="G29" s="122"/>
    </row>
    <row r="30" spans="2:7" ht="17.25" x14ac:dyDescent="0.3">
      <c r="B30" s="153" t="s">
        <v>225</v>
      </c>
      <c r="C30" s="153" t="s">
        <v>226</v>
      </c>
      <c r="D30" s="134"/>
      <c r="E30" s="134"/>
      <c r="F30" s="134"/>
      <c r="G30" s="134"/>
    </row>
    <row r="31" spans="2:7" ht="17.25" x14ac:dyDescent="0.3">
      <c r="B31" s="154">
        <v>1234.56</v>
      </c>
      <c r="C31" s="147" t="s">
        <v>227</v>
      </c>
      <c r="D31" s="131"/>
      <c r="E31" s="131"/>
      <c r="F31" s="131"/>
      <c r="G31" s="132"/>
    </row>
    <row r="32" spans="2:7" ht="17.25" x14ac:dyDescent="0.3">
      <c r="B32" s="155">
        <v>1234.56</v>
      </c>
      <c r="C32" s="147" t="s">
        <v>228</v>
      </c>
      <c r="D32" s="131"/>
      <c r="E32" s="131"/>
      <c r="F32" s="131"/>
      <c r="G32" s="132"/>
    </row>
    <row r="33" spans="2:7" ht="17.25" x14ac:dyDescent="0.3">
      <c r="B33" s="156" t="s">
        <v>229</v>
      </c>
      <c r="C33" s="147" t="s">
        <v>230</v>
      </c>
      <c r="D33" s="131"/>
      <c r="E33" s="131"/>
      <c r="F33" s="131"/>
      <c r="G33" s="132"/>
    </row>
    <row r="34" spans="2:7" ht="17.25" x14ac:dyDescent="0.3">
      <c r="B34" s="157">
        <v>1234.56</v>
      </c>
      <c r="C34" s="147" t="s">
        <v>231</v>
      </c>
      <c r="D34" s="131"/>
      <c r="E34" s="131"/>
      <c r="F34" s="131"/>
      <c r="G34" s="132"/>
    </row>
    <row r="35" spans="2:7" ht="17.25" x14ac:dyDescent="0.3">
      <c r="B35" s="158">
        <v>0</v>
      </c>
      <c r="C35" s="147" t="s">
        <v>232</v>
      </c>
      <c r="D35" s="131"/>
      <c r="E35" s="131"/>
      <c r="F35" s="131"/>
      <c r="G35" s="132"/>
    </row>
    <row r="36" spans="2:7" ht="15.95" customHeight="1" x14ac:dyDescent="0.25">
      <c r="B36" s="121"/>
      <c r="C36" s="121"/>
      <c r="D36" s="121"/>
      <c r="E36" s="121"/>
      <c r="F36" s="121"/>
      <c r="G36" s="121"/>
    </row>
    <row r="37" spans="2:7" ht="15.95" customHeight="1" x14ac:dyDescent="0.25">
      <c r="B37" s="137" t="s">
        <v>233</v>
      </c>
      <c r="C37" s="122"/>
      <c r="D37" s="122"/>
      <c r="E37" s="122"/>
      <c r="F37" s="122"/>
      <c r="G37" s="122"/>
    </row>
    <row r="38" spans="2:7" ht="17.25" x14ac:dyDescent="0.3">
      <c r="B38" s="146" t="s">
        <v>234</v>
      </c>
      <c r="C38" s="147" t="s">
        <v>235</v>
      </c>
      <c r="D38" s="131"/>
      <c r="E38" s="131"/>
      <c r="F38" s="131"/>
      <c r="G38" s="132"/>
    </row>
    <row r="39" spans="2:7" ht="17.25" x14ac:dyDescent="0.3">
      <c r="B39" s="146" t="s">
        <v>236</v>
      </c>
      <c r="C39" s="147" t="s">
        <v>277</v>
      </c>
      <c r="D39" s="131"/>
      <c r="E39" s="131"/>
      <c r="F39" s="131"/>
      <c r="G39" s="132"/>
    </row>
    <row r="40" spans="2:7" ht="17.25" x14ac:dyDescent="0.3">
      <c r="B40" s="146" t="s">
        <v>237</v>
      </c>
      <c r="C40" s="147" t="s">
        <v>278</v>
      </c>
      <c r="D40" s="131"/>
      <c r="E40" s="131"/>
      <c r="F40" s="131"/>
      <c r="G40" s="132"/>
    </row>
    <row r="41" spans="2:7" ht="15.95" customHeight="1" x14ac:dyDescent="0.25">
      <c r="B41" s="121"/>
      <c r="C41" s="121"/>
      <c r="D41" s="121"/>
      <c r="E41" s="121"/>
      <c r="F41" s="121"/>
      <c r="G41" s="121"/>
    </row>
    <row r="42" spans="2:7" ht="15.95" customHeight="1" x14ac:dyDescent="0.25">
      <c r="B42" s="121"/>
      <c r="C42" s="121"/>
      <c r="D42" s="121"/>
      <c r="E42" s="121"/>
      <c r="F42" s="121"/>
      <c r="G42" s="121"/>
    </row>
    <row r="43" spans="2:7" ht="15.95" customHeight="1" x14ac:dyDescent="0.25">
      <c r="B43" s="317" t="s">
        <v>299</v>
      </c>
      <c r="C43" s="317"/>
      <c r="D43" s="317"/>
      <c r="E43" s="317"/>
      <c r="F43" s="236"/>
      <c r="G43" s="236"/>
    </row>
    <row r="44" spans="2:7" ht="15.95" customHeight="1" x14ac:dyDescent="0.25">
      <c r="B44" s="317" t="s">
        <v>300</v>
      </c>
      <c r="C44" s="317"/>
      <c r="D44" s="236"/>
      <c r="E44" s="236"/>
      <c r="F44" s="236"/>
      <c r="G44" s="236"/>
    </row>
    <row r="45" spans="2:7" ht="15.95" customHeight="1" x14ac:dyDescent="0.25">
      <c r="B45" s="317" t="s">
        <v>301</v>
      </c>
      <c r="C45" s="317"/>
      <c r="D45" s="317"/>
      <c r="E45" s="317"/>
      <c r="F45" s="317"/>
      <c r="G45" s="317"/>
    </row>
    <row r="46" spans="2:7" ht="15.95" customHeight="1" x14ac:dyDescent="0.25">
      <c r="B46" s="317" t="s">
        <v>302</v>
      </c>
      <c r="C46" s="317"/>
      <c r="D46" s="317"/>
      <c r="E46" s="236"/>
      <c r="F46" s="236"/>
      <c r="G46" s="236"/>
    </row>
    <row r="47" spans="2:7" ht="15.95" customHeight="1" x14ac:dyDescent="0.25">
      <c r="B47" s="121"/>
      <c r="C47" s="121"/>
      <c r="D47" s="121"/>
      <c r="E47" s="121"/>
      <c r="F47" s="121"/>
      <c r="G47" s="121"/>
    </row>
    <row r="48" spans="2:7" ht="15.95" customHeight="1" x14ac:dyDescent="0.25">
      <c r="B48" s="121"/>
      <c r="C48" s="121"/>
      <c r="D48" s="121"/>
      <c r="E48" s="121"/>
      <c r="F48" s="121"/>
      <c r="G48" s="121"/>
    </row>
    <row r="49" spans="2:7" ht="15.95" customHeight="1" x14ac:dyDescent="0.25">
      <c r="B49" s="121"/>
      <c r="C49" s="121"/>
      <c r="D49" s="121"/>
      <c r="E49" s="121"/>
      <c r="F49" s="121"/>
      <c r="G49" s="121"/>
    </row>
    <row r="50" spans="2:7" ht="15.95" customHeight="1" x14ac:dyDescent="0.25">
      <c r="B50" s="121"/>
      <c r="C50" s="121"/>
      <c r="D50" s="121"/>
      <c r="E50" s="121"/>
      <c r="F50" s="121"/>
      <c r="G50" s="121"/>
    </row>
  </sheetData>
  <mergeCells count="5">
    <mergeCell ref="B1:G1"/>
    <mergeCell ref="B43:E43"/>
    <mergeCell ref="B44:C44"/>
    <mergeCell ref="B45:G45"/>
    <mergeCell ref="B46:D4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D9B6-F78F-4AA0-92D2-C83481FEDFCA}">
  <sheetPr>
    <tabColor rgb="FFFF0000"/>
  </sheetPr>
  <dimension ref="B1:E77"/>
  <sheetViews>
    <sheetView showGridLines="0" zoomScale="78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D75" sqref="D75"/>
    </sheetView>
  </sheetViews>
  <sheetFormatPr defaultRowHeight="15.75" customHeight="1" x14ac:dyDescent="0.25"/>
  <cols>
    <col min="1" max="1" width="3.21875" style="117" customWidth="1"/>
    <col min="2" max="2" width="22.44140625" style="117" bestFit="1" customWidth="1"/>
    <col min="3" max="3" width="27.21875" style="117" customWidth="1"/>
    <col min="4" max="4" width="62.5546875" style="117" customWidth="1"/>
    <col min="5" max="5" width="4.5546875" style="117" customWidth="1"/>
    <col min="6" max="16384" width="8.88671875" style="117"/>
  </cols>
  <sheetData>
    <row r="1" spans="2:5" ht="36" customHeight="1" x14ac:dyDescent="0.25">
      <c r="B1" s="318" t="s">
        <v>265</v>
      </c>
      <c r="C1" s="318"/>
      <c r="D1" s="318"/>
      <c r="E1" s="318"/>
    </row>
    <row r="2" spans="2:5" ht="21.95" customHeight="1" x14ac:dyDescent="0.25">
      <c r="B2" s="120" t="s">
        <v>303</v>
      </c>
      <c r="C2" s="120"/>
      <c r="D2" s="120"/>
      <c r="E2" s="120"/>
    </row>
    <row r="3" spans="2:5" ht="8.1" customHeight="1" x14ac:dyDescent="0.25"/>
    <row r="4" spans="2:5" ht="26.1" customHeight="1" x14ac:dyDescent="0.25">
      <c r="B4" s="308">
        <v>1</v>
      </c>
      <c r="C4" s="244" t="s">
        <v>304</v>
      </c>
      <c r="D4" s="244"/>
      <c r="E4" s="244"/>
    </row>
    <row r="5" spans="2:5" ht="3.95" customHeight="1" x14ac:dyDescent="0.25">
      <c r="B5"/>
    </row>
    <row r="6" spans="2:5" ht="26.1" customHeight="1" x14ac:dyDescent="0.25">
      <c r="B6"/>
      <c r="C6" s="275"/>
      <c r="D6" s="276" t="s">
        <v>305</v>
      </c>
      <c r="E6" s="275"/>
    </row>
    <row r="7" spans="2:5" ht="20.100000000000001" customHeight="1" x14ac:dyDescent="0.25">
      <c r="B7"/>
      <c r="C7" s="275"/>
      <c r="D7" s="278" t="s">
        <v>383</v>
      </c>
      <c r="E7" s="245"/>
    </row>
    <row r="8" spans="2:5" ht="20.100000000000001" customHeight="1" x14ac:dyDescent="0.25">
      <c r="B8"/>
      <c r="C8" s="275"/>
      <c r="D8" s="278" t="s">
        <v>384</v>
      </c>
      <c r="E8" s="245"/>
    </row>
    <row r="9" spans="2:5" ht="31.5" x14ac:dyDescent="0.25">
      <c r="B9"/>
      <c r="C9" s="275"/>
      <c r="D9" s="278" t="s">
        <v>385</v>
      </c>
      <c r="E9" s="245"/>
    </row>
    <row r="10" spans="2:5" ht="31.5" x14ac:dyDescent="0.25">
      <c r="B10"/>
      <c r="C10" s="275"/>
      <c r="D10" s="278" t="s">
        <v>386</v>
      </c>
      <c r="E10" s="245"/>
    </row>
    <row r="11" spans="2:5" ht="26.1" customHeight="1" x14ac:dyDescent="0.25">
      <c r="B11" s="308">
        <v>2</v>
      </c>
      <c r="C11" s="244" t="s">
        <v>306</v>
      </c>
      <c r="D11" s="244"/>
      <c r="E11" s="244"/>
    </row>
    <row r="12" spans="2:5" ht="3.95" customHeight="1" x14ac:dyDescent="0.25">
      <c r="B12"/>
    </row>
    <row r="13" spans="2:5" ht="21.95" customHeight="1" x14ac:dyDescent="0.25">
      <c r="B13" s="309" t="s">
        <v>307</v>
      </c>
      <c r="C13" s="282" t="s">
        <v>308</v>
      </c>
      <c r="D13" s="279" t="s">
        <v>309</v>
      </c>
      <c r="E13" s="247"/>
    </row>
    <row r="14" spans="2:5" ht="21.95" customHeight="1" x14ac:dyDescent="0.25">
      <c r="B14" s="310" t="s">
        <v>310</v>
      </c>
      <c r="C14" s="283" t="s">
        <v>311</v>
      </c>
      <c r="D14" s="280" t="s">
        <v>312</v>
      </c>
      <c r="E14" s="248"/>
    </row>
    <row r="15" spans="2:5" ht="21.95" customHeight="1" x14ac:dyDescent="0.25">
      <c r="B15" s="310" t="s">
        <v>313</v>
      </c>
      <c r="C15" s="283" t="s">
        <v>314</v>
      </c>
      <c r="D15" s="280" t="s">
        <v>315</v>
      </c>
      <c r="E15" s="248"/>
    </row>
    <row r="16" spans="2:5" ht="21.95" customHeight="1" x14ac:dyDescent="0.25">
      <c r="B16" s="310" t="s">
        <v>316</v>
      </c>
      <c r="C16" s="283" t="s">
        <v>317</v>
      </c>
      <c r="D16" s="280" t="s">
        <v>318</v>
      </c>
      <c r="E16" s="248"/>
    </row>
    <row r="17" spans="2:5" ht="21.95" customHeight="1" x14ac:dyDescent="0.25">
      <c r="B17" s="310" t="s">
        <v>319</v>
      </c>
      <c r="C17" s="283" t="s">
        <v>320</v>
      </c>
      <c r="D17" s="280" t="s">
        <v>321</v>
      </c>
      <c r="E17" s="248"/>
    </row>
    <row r="18" spans="2:5" ht="21.95" customHeight="1" x14ac:dyDescent="0.25">
      <c r="B18" s="311" t="s">
        <v>322</v>
      </c>
      <c r="C18" s="284" t="s">
        <v>323</v>
      </c>
      <c r="D18" s="281" t="s">
        <v>324</v>
      </c>
      <c r="E18" s="249"/>
    </row>
    <row r="19" spans="2:5" ht="3.95" customHeight="1" x14ac:dyDescent="0.25">
      <c r="B19"/>
    </row>
    <row r="20" spans="2:5" ht="26.1" customHeight="1" x14ac:dyDescent="0.25">
      <c r="B20" s="308">
        <v>3</v>
      </c>
      <c r="C20" s="244" t="s">
        <v>325</v>
      </c>
      <c r="D20" s="244"/>
      <c r="E20" s="244"/>
    </row>
    <row r="21" spans="2:5" ht="3.95" customHeight="1" x14ac:dyDescent="0.25"/>
    <row r="22" spans="2:5" ht="15.75" customHeight="1" x14ac:dyDescent="0.25">
      <c r="B22" s="308" t="s">
        <v>216</v>
      </c>
      <c r="C22" s="246" t="s">
        <v>326</v>
      </c>
      <c r="D22" s="246" t="s">
        <v>217</v>
      </c>
      <c r="E22" s="246"/>
    </row>
    <row r="23" spans="2:5" ht="20.100000000000001" customHeight="1" x14ac:dyDescent="0.25">
      <c r="B23" s="250" t="s">
        <v>327</v>
      </c>
      <c r="C23" s="285" t="str">
        <f>HYPERLINK("#'Cover Page'!B1","Cover Page")</f>
        <v>Cover Page</v>
      </c>
      <c r="D23" s="279" t="s">
        <v>328</v>
      </c>
      <c r="E23" s="247"/>
    </row>
    <row r="24" spans="2:5" ht="20.100000000000001" customHeight="1" x14ac:dyDescent="0.25">
      <c r="B24" s="251" t="s">
        <v>327</v>
      </c>
      <c r="C24" s="286" t="str">
        <f>HYPERLINK("#Instructions!B1","Instructions")</f>
        <v>Instructions</v>
      </c>
      <c r="D24" s="280" t="s">
        <v>329</v>
      </c>
      <c r="E24" s="248"/>
    </row>
    <row r="25" spans="2:5" ht="20.100000000000001" customHeight="1" x14ac:dyDescent="0.25">
      <c r="B25" s="251" t="s">
        <v>327</v>
      </c>
      <c r="C25" s="286" t="str">
        <f>HYPERLINK("#Summary!B1","Summary")</f>
        <v>Summary</v>
      </c>
      <c r="D25" s="280" t="s">
        <v>330</v>
      </c>
      <c r="E25" s="248"/>
    </row>
    <row r="26" spans="2:5" ht="20.100000000000001" customHeight="1" x14ac:dyDescent="0.25">
      <c r="B26" s="251" t="s">
        <v>327</v>
      </c>
      <c r="C26" s="286" t="str">
        <f>HYPERLINK("#Assumptions!B1","Assumptions")</f>
        <v>Assumptions</v>
      </c>
      <c r="D26" s="280" t="s">
        <v>331</v>
      </c>
      <c r="E26" s="248"/>
    </row>
    <row r="27" spans="2:5" ht="20.100000000000001" customHeight="1" x14ac:dyDescent="0.25">
      <c r="B27" s="251" t="s">
        <v>327</v>
      </c>
      <c r="C27" s="286" t="str">
        <f>HYPERLINK("#'Income Statement &amp; Forecast'!B1","Income Statement")</f>
        <v>Income Statement</v>
      </c>
      <c r="D27" s="280" t="s">
        <v>332</v>
      </c>
      <c r="E27" s="248"/>
    </row>
    <row r="28" spans="2:5" ht="20.100000000000001" customHeight="1" x14ac:dyDescent="0.25">
      <c r="B28" s="251" t="s">
        <v>327</v>
      </c>
      <c r="C28" s="286" t="str">
        <f>HYPERLINK("#'Balance Sheet &amp; Forecast'!B1","Balance Sheet")</f>
        <v>Balance Sheet</v>
      </c>
      <c r="D28" s="280" t="s">
        <v>333</v>
      </c>
      <c r="E28" s="248"/>
    </row>
    <row r="29" spans="2:5" ht="20.100000000000001" customHeight="1" x14ac:dyDescent="0.25">
      <c r="B29" s="252" t="s">
        <v>327</v>
      </c>
      <c r="C29" s="287" t="str">
        <f>HYPERLINK("#'Cash Flow Statement &amp; Forecast'!B1","Cash Flow Statement")</f>
        <v>Cash Flow Statement</v>
      </c>
      <c r="D29" s="281" t="s">
        <v>334</v>
      </c>
      <c r="E29" s="249"/>
    </row>
    <row r="30" spans="2:5" ht="3.95" customHeight="1" x14ac:dyDescent="0.25">
      <c r="B30"/>
    </row>
    <row r="31" spans="2:5" ht="26.1" customHeight="1" x14ac:dyDescent="0.25">
      <c r="B31" s="308">
        <v>4</v>
      </c>
      <c r="C31" s="244" t="s">
        <v>335</v>
      </c>
      <c r="D31" s="244"/>
      <c r="E31" s="244"/>
    </row>
    <row r="32" spans="2:5" ht="3.95" customHeight="1" x14ac:dyDescent="0.25">
      <c r="B32"/>
    </row>
    <row r="33" spans="2:5" ht="21.95" customHeight="1" x14ac:dyDescent="0.25">
      <c r="B33" s="253" t="s">
        <v>336</v>
      </c>
      <c r="C33" s="288" t="s">
        <v>337</v>
      </c>
      <c r="D33" s="289" t="s">
        <v>338</v>
      </c>
      <c r="E33" s="254"/>
    </row>
    <row r="34" spans="2:5" ht="21.95" customHeight="1" x14ac:dyDescent="0.25">
      <c r="B34" s="255" t="s">
        <v>336</v>
      </c>
      <c r="C34" s="290" t="s">
        <v>339</v>
      </c>
      <c r="D34" s="291" t="s">
        <v>340</v>
      </c>
      <c r="E34" s="256"/>
    </row>
    <row r="35" spans="2:5" x14ac:dyDescent="0.25">
      <c r="B35" s="255" t="s">
        <v>336</v>
      </c>
      <c r="C35" s="290" t="s">
        <v>341</v>
      </c>
      <c r="D35" s="291" t="s">
        <v>342</v>
      </c>
      <c r="E35" s="256"/>
    </row>
    <row r="36" spans="2:5" ht="31.5" x14ac:dyDescent="0.25">
      <c r="B36" s="255" t="s">
        <v>336</v>
      </c>
      <c r="C36" s="290" t="s">
        <v>343</v>
      </c>
      <c r="D36" s="291" t="s">
        <v>344</v>
      </c>
      <c r="E36" s="256"/>
    </row>
    <row r="37" spans="2:5" ht="31.5" x14ac:dyDescent="0.25">
      <c r="B37" s="255" t="s">
        <v>336</v>
      </c>
      <c r="C37" s="290" t="s">
        <v>345</v>
      </c>
      <c r="D37" s="291" t="s">
        <v>346</v>
      </c>
      <c r="E37" s="256"/>
    </row>
    <row r="38" spans="2:5" ht="31.5" x14ac:dyDescent="0.25">
      <c r="B38" s="257" t="s">
        <v>336</v>
      </c>
      <c r="C38" s="292" t="s">
        <v>347</v>
      </c>
      <c r="D38" s="293" t="s">
        <v>348</v>
      </c>
      <c r="E38" s="258"/>
    </row>
    <row r="39" spans="2:5" ht="3.95" customHeight="1" x14ac:dyDescent="0.25">
      <c r="B39"/>
    </row>
    <row r="40" spans="2:5" ht="26.1" customHeight="1" x14ac:dyDescent="0.25">
      <c r="B40" s="308">
        <v>5</v>
      </c>
      <c r="C40" s="244" t="s">
        <v>349</v>
      </c>
      <c r="D40" s="244"/>
      <c r="E40" s="244"/>
    </row>
    <row r="41" spans="2:5" ht="3.95" customHeight="1" x14ac:dyDescent="0.25">
      <c r="B41"/>
    </row>
    <row r="42" spans="2:5" ht="31.5" x14ac:dyDescent="0.25">
      <c r="B42" s="260" t="s">
        <v>350</v>
      </c>
      <c r="C42" s="282" t="s">
        <v>351</v>
      </c>
      <c r="D42" s="279" t="s">
        <v>352</v>
      </c>
      <c r="E42" s="247"/>
    </row>
    <row r="43" spans="2:5" ht="31.5" x14ac:dyDescent="0.25">
      <c r="B43" s="261" t="s">
        <v>350</v>
      </c>
      <c r="C43" s="283" t="s">
        <v>353</v>
      </c>
      <c r="D43" s="280" t="s">
        <v>354</v>
      </c>
      <c r="E43" s="248"/>
    </row>
    <row r="44" spans="2:5" x14ac:dyDescent="0.25">
      <c r="B44" s="261" t="s">
        <v>350</v>
      </c>
      <c r="C44" s="283" t="s">
        <v>236</v>
      </c>
      <c r="D44" s="280" t="s">
        <v>355</v>
      </c>
      <c r="E44" s="248"/>
    </row>
    <row r="45" spans="2:5" ht="20.100000000000001" customHeight="1" x14ac:dyDescent="0.25">
      <c r="B45" s="261" t="s">
        <v>350</v>
      </c>
      <c r="C45" s="283" t="s">
        <v>356</v>
      </c>
      <c r="D45" s="280" t="s">
        <v>357</v>
      </c>
      <c r="E45" s="248"/>
    </row>
    <row r="46" spans="2:5" ht="20.100000000000001" customHeight="1" x14ac:dyDescent="0.25">
      <c r="B46" s="262" t="s">
        <v>350</v>
      </c>
      <c r="C46" s="284" t="s">
        <v>358</v>
      </c>
      <c r="D46" s="281" t="s">
        <v>359</v>
      </c>
      <c r="E46" s="249"/>
    </row>
    <row r="47" spans="2:5" ht="3.95" customHeight="1" x14ac:dyDescent="0.25">
      <c r="B47"/>
    </row>
    <row r="48" spans="2:5" ht="26.1" customHeight="1" x14ac:dyDescent="0.25">
      <c r="B48" s="308">
        <v>6</v>
      </c>
      <c r="C48" s="244" t="s">
        <v>360</v>
      </c>
      <c r="D48" s="244"/>
      <c r="E48" s="244"/>
    </row>
    <row r="49" spans="2:5" ht="3.95" customHeight="1" x14ac:dyDescent="0.25">
      <c r="B49"/>
    </row>
    <row r="50" spans="2:5" x14ac:dyDescent="0.25">
      <c r="B50" s="303">
        <v>1234.56</v>
      </c>
      <c r="C50" s="294"/>
      <c r="D50" s="295" t="s">
        <v>361</v>
      </c>
      <c r="E50" s="263"/>
    </row>
    <row r="51" spans="2:5" x14ac:dyDescent="0.25">
      <c r="B51" s="304">
        <v>1234.56</v>
      </c>
      <c r="C51" s="296"/>
      <c r="D51" s="297" t="s">
        <v>362</v>
      </c>
      <c r="E51" s="264"/>
    </row>
    <row r="52" spans="2:5" x14ac:dyDescent="0.25">
      <c r="B52" s="259" t="s">
        <v>363</v>
      </c>
      <c r="C52" s="296"/>
      <c r="D52" s="297" t="s">
        <v>364</v>
      </c>
      <c r="E52" s="264"/>
    </row>
    <row r="53" spans="2:5" x14ac:dyDescent="0.25">
      <c r="B53" s="305" t="s">
        <v>365</v>
      </c>
      <c r="C53" s="296"/>
      <c r="D53" s="297" t="s">
        <v>366</v>
      </c>
      <c r="E53" s="264"/>
    </row>
    <row r="54" spans="2:5" ht="16.5" thickBot="1" x14ac:dyDescent="0.3">
      <c r="B54" s="306">
        <v>1234.56</v>
      </c>
      <c r="C54" s="296"/>
      <c r="D54" s="297" t="s">
        <v>367</v>
      </c>
      <c r="E54" s="264"/>
    </row>
    <row r="55" spans="2:5" ht="16.5" thickTop="1" x14ac:dyDescent="0.25">
      <c r="B55" s="307">
        <v>0</v>
      </c>
      <c r="C55" s="298"/>
      <c r="D55" s="299" t="s">
        <v>368</v>
      </c>
      <c r="E55" s="265"/>
    </row>
    <row r="56" spans="2:5" ht="3.95" customHeight="1" x14ac:dyDescent="0.25">
      <c r="B56"/>
    </row>
    <row r="57" spans="2:5" ht="26.1" customHeight="1" x14ac:dyDescent="0.25">
      <c r="B57" s="308">
        <v>7</v>
      </c>
      <c r="C57" s="244" t="s">
        <v>369</v>
      </c>
      <c r="D57" s="244"/>
      <c r="E57" s="244"/>
    </row>
    <row r="58" spans="2:5" ht="3.95" customHeight="1" x14ac:dyDescent="0.25">
      <c r="B58"/>
    </row>
    <row r="59" spans="2:5" x14ac:dyDescent="0.25">
      <c r="B59" s="312" t="s">
        <v>370</v>
      </c>
      <c r="C59" s="300" t="s">
        <v>371</v>
      </c>
      <c r="D59" s="289" t="s">
        <v>372</v>
      </c>
      <c r="E59" s="254"/>
    </row>
    <row r="60" spans="2:5" ht="31.5" x14ac:dyDescent="0.25">
      <c r="B60" s="313" t="s">
        <v>370</v>
      </c>
      <c r="C60" s="301" t="s">
        <v>373</v>
      </c>
      <c r="D60" s="291" t="s">
        <v>374</v>
      </c>
      <c r="E60" s="256"/>
    </row>
    <row r="61" spans="2:5" ht="31.5" x14ac:dyDescent="0.25">
      <c r="B61" s="313" t="s">
        <v>370</v>
      </c>
      <c r="C61" s="301" t="s">
        <v>375</v>
      </c>
      <c r="D61" s="291" t="s">
        <v>376</v>
      </c>
      <c r="E61" s="256"/>
    </row>
    <row r="62" spans="2:5" ht="31.5" x14ac:dyDescent="0.25">
      <c r="B62" s="314" t="s">
        <v>370</v>
      </c>
      <c r="C62" s="302" t="s">
        <v>377</v>
      </c>
      <c r="D62" s="293" t="s">
        <v>378</v>
      </c>
      <c r="E62" s="258"/>
    </row>
    <row r="63" spans="2:5" ht="3.95" customHeight="1" x14ac:dyDescent="0.25">
      <c r="B63"/>
    </row>
    <row r="64" spans="2:5" ht="26.1" customHeight="1" x14ac:dyDescent="0.25">
      <c r="B64" s="308">
        <v>8</v>
      </c>
      <c r="C64" s="244" t="s">
        <v>379</v>
      </c>
      <c r="D64" s="244"/>
      <c r="E64" s="244"/>
    </row>
    <row r="65" spans="3:5" ht="3.95" customHeight="1" x14ac:dyDescent="0.25"/>
    <row r="66" spans="3:5" ht="27" customHeight="1" x14ac:dyDescent="0.25">
      <c r="C66" s="277"/>
      <c r="D66" s="319" t="s">
        <v>380</v>
      </c>
      <c r="E66" s="320"/>
    </row>
    <row r="67" spans="3:5" ht="13.5" x14ac:dyDescent="0.25">
      <c r="C67" s="277"/>
      <c r="D67" s="321" t="s">
        <v>381</v>
      </c>
      <c r="E67" s="322"/>
    </row>
    <row r="68" spans="3:5" ht="27" customHeight="1" x14ac:dyDescent="0.25">
      <c r="C68" s="277"/>
      <c r="D68" s="321" t="s">
        <v>301</v>
      </c>
      <c r="E68" s="322"/>
    </row>
    <row r="69" spans="3:5" ht="13.5" x14ac:dyDescent="0.25">
      <c r="C69" s="277"/>
      <c r="D69" s="323" t="s">
        <v>382</v>
      </c>
      <c r="E69" s="324"/>
    </row>
    <row r="70" spans="3:5" ht="15.75" customHeight="1" x14ac:dyDescent="0.25">
      <c r="D70" s="315"/>
      <c r="E70" s="315"/>
    </row>
    <row r="71" spans="3:5" ht="15.75" customHeight="1" x14ac:dyDescent="0.25">
      <c r="D71" s="315"/>
      <c r="E71" s="315"/>
    </row>
    <row r="72" spans="3:5" ht="15.75" customHeight="1" x14ac:dyDescent="0.25">
      <c r="D72" s="315"/>
      <c r="E72" s="315"/>
    </row>
    <row r="73" spans="3:5" ht="15.75" customHeight="1" x14ac:dyDescent="0.25">
      <c r="D73" s="315"/>
      <c r="E73" s="315"/>
    </row>
    <row r="74" spans="3:5" ht="15.75" customHeight="1" x14ac:dyDescent="0.25">
      <c r="D74" s="315"/>
      <c r="E74" s="315"/>
    </row>
    <row r="75" spans="3:5" ht="15.75" customHeight="1" x14ac:dyDescent="0.25">
      <c r="D75" s="315"/>
      <c r="E75" s="315"/>
    </row>
    <row r="76" spans="3:5" ht="15.75" customHeight="1" x14ac:dyDescent="0.25">
      <c r="D76" s="315"/>
      <c r="E76" s="315"/>
    </row>
    <row r="77" spans="3:5" ht="15.75" customHeight="1" x14ac:dyDescent="0.25">
      <c r="D77" s="315"/>
      <c r="E77" s="315"/>
    </row>
  </sheetData>
  <mergeCells count="5">
    <mergeCell ref="B1:E1"/>
    <mergeCell ref="D66:E66"/>
    <mergeCell ref="D67:E67"/>
    <mergeCell ref="D68:E68"/>
    <mergeCell ref="D69:E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B901-83D2-4D42-BB1E-032782D3CEF6}">
  <sheetPr>
    <tabColor theme="9" tint="-0.249977111117893"/>
  </sheetPr>
  <dimension ref="B1:M30"/>
  <sheetViews>
    <sheetView showGridLines="0" zoomScale="83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.75" customHeight="1" x14ac:dyDescent="0.25"/>
  <cols>
    <col min="1" max="1" width="3.5546875" style="2" customWidth="1"/>
    <col min="2" max="2" width="48.109375" style="2" customWidth="1"/>
    <col min="3" max="7" width="14.109375" style="2" customWidth="1"/>
    <col min="8" max="8" width="3.88671875" customWidth="1"/>
    <col min="9" max="13" width="14.109375" style="2" customWidth="1"/>
    <col min="14" max="16384" width="8.88671875" style="2"/>
  </cols>
  <sheetData>
    <row r="1" spans="2:13" ht="21" x14ac:dyDescent="0.25">
      <c r="B1" s="167" t="s">
        <v>172</v>
      </c>
      <c r="C1" s="34"/>
      <c r="D1" s="34"/>
      <c r="E1" s="34"/>
      <c r="F1" s="34"/>
      <c r="G1" s="326"/>
      <c r="H1" s="326"/>
      <c r="I1" s="326"/>
      <c r="J1" s="34"/>
      <c r="K1" s="34"/>
      <c r="L1" s="34"/>
      <c r="M1" s="34"/>
    </row>
    <row r="2" spans="2:13" ht="15.75" customHeight="1" x14ac:dyDescent="0.25">
      <c r="B2" s="3" t="s">
        <v>173</v>
      </c>
    </row>
    <row r="3" spans="2:13" ht="15.75" customHeight="1" x14ac:dyDescent="0.25">
      <c r="C3" s="35" t="s">
        <v>174</v>
      </c>
      <c r="D3" s="35"/>
      <c r="E3" s="35"/>
      <c r="F3" s="35"/>
      <c r="G3" s="35"/>
      <c r="I3" s="325" t="s">
        <v>175</v>
      </c>
      <c r="J3" s="325"/>
      <c r="K3" s="325"/>
      <c r="L3" s="325"/>
      <c r="M3" s="325"/>
    </row>
    <row r="4" spans="2:13" ht="15.75" customHeight="1" thickBot="1" x14ac:dyDescent="0.3"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I4" s="42" t="s">
        <v>176</v>
      </c>
      <c r="J4" s="42" t="s">
        <v>177</v>
      </c>
      <c r="K4" s="42" t="s">
        <v>178</v>
      </c>
      <c r="L4" s="42" t="s">
        <v>179</v>
      </c>
      <c r="M4" s="42" t="s">
        <v>180</v>
      </c>
    </row>
    <row r="5" spans="2:13" ht="15.75" customHeight="1" x14ac:dyDescent="0.25">
      <c r="B5" s="13" t="s">
        <v>181</v>
      </c>
      <c r="C5" s="13"/>
      <c r="D5" s="13"/>
      <c r="E5" s="13"/>
      <c r="F5" s="13"/>
      <c r="G5" s="13"/>
      <c r="I5" s="13"/>
      <c r="J5" s="13"/>
      <c r="K5" s="13"/>
      <c r="L5" s="13"/>
      <c r="M5" s="13"/>
    </row>
    <row r="6" spans="2:13" ht="15.75" customHeight="1" x14ac:dyDescent="0.25">
      <c r="B6" s="2" t="s">
        <v>182</v>
      </c>
      <c r="C6" s="2">
        <f>'Income Statement &amp; Forecast'!C6+'Income Statement &amp; Forecast'!C7+'Income Statement &amp; Forecast'!C8</f>
        <v>21712.79</v>
      </c>
      <c r="D6" s="2">
        <f>'Income Statement &amp; Forecast'!D6+'Income Statement &amp; Forecast'!D7+'Income Statement &amp; Forecast'!D8</f>
        <v>29101.279999999999</v>
      </c>
      <c r="E6" s="2">
        <f>'Income Statement &amp; Forecast'!E6+'Income Statement &amp; Forecast'!E7+'Income Statement &amp; Forecast'!E8</f>
        <v>34488.590000000004</v>
      </c>
      <c r="F6" s="2">
        <f>'Income Statement &amp; Forecast'!F6+'Income Statement &amp; Forecast'!F7+'Income Statement &amp; Forecast'!F8</f>
        <v>35494.729999999996</v>
      </c>
      <c r="G6" s="2">
        <f>'Income Statement &amp; Forecast'!G6+'Income Statement &amp; Forecast'!G7+'Income Statement &amp; Forecast'!G8</f>
        <v>33905.620000000003</v>
      </c>
      <c r="I6" s="2">
        <f>G6*(1+I7)</f>
        <v>35939.957200000004</v>
      </c>
      <c r="J6" s="2">
        <f t="shared" ref="J6:M6" si="0">I6*(1+J7)</f>
        <v>38815.153776000006</v>
      </c>
      <c r="K6" s="2">
        <f t="shared" si="0"/>
        <v>41920.366078080013</v>
      </c>
      <c r="L6" s="2">
        <f t="shared" si="0"/>
        <v>45273.995364326416</v>
      </c>
      <c r="M6" s="2">
        <f t="shared" si="0"/>
        <v>48443.175039829272</v>
      </c>
    </row>
    <row r="7" spans="2:13" ht="15.75" customHeight="1" x14ac:dyDescent="0.25">
      <c r="B7" s="2" t="s">
        <v>183</v>
      </c>
      <c r="D7" s="2">
        <f t="shared" ref="D7:G7" si="1">D6/C6-1</f>
        <v>0.34028284711453471</v>
      </c>
      <c r="E7" s="2">
        <f t="shared" si="1"/>
        <v>0.18512278497715573</v>
      </c>
      <c r="F7" s="2">
        <f t="shared" si="1"/>
        <v>2.9173126532571869E-2</v>
      </c>
      <c r="G7" s="2">
        <f t="shared" si="1"/>
        <v>-4.4770308155604899E-2</v>
      </c>
      <c r="I7" s="36">
        <v>0.06</v>
      </c>
      <c r="J7" s="37">
        <v>0.08</v>
      </c>
      <c r="K7" s="37">
        <v>0.08</v>
      </c>
      <c r="L7" s="37">
        <v>0.08</v>
      </c>
      <c r="M7" s="38">
        <v>7.0000000000000007E-2</v>
      </c>
    </row>
    <row r="8" spans="2:13" ht="15.75" customHeight="1" x14ac:dyDescent="0.25">
      <c r="B8" s="2" t="s">
        <v>63</v>
      </c>
      <c r="C8" s="2">
        <f>'Income Statement &amp; Forecast'!C9</f>
        <v>303.05</v>
      </c>
      <c r="D8" s="2">
        <f>'Income Statement &amp; Forecast'!D9</f>
        <v>380.01</v>
      </c>
      <c r="E8" s="2">
        <f>'Income Statement &amp; Forecast'!E9</f>
        <v>386.48</v>
      </c>
      <c r="F8" s="2">
        <f>'Income Statement &amp; Forecast'!F9</f>
        <v>687.96</v>
      </c>
      <c r="G8" s="2">
        <f>'Income Statement &amp; Forecast'!G9</f>
        <v>572.61</v>
      </c>
      <c r="I8" s="39">
        <v>600</v>
      </c>
      <c r="J8" s="40">
        <v>650</v>
      </c>
      <c r="K8" s="40">
        <v>700</v>
      </c>
      <c r="L8" s="40">
        <v>750</v>
      </c>
      <c r="M8" s="41">
        <v>800</v>
      </c>
    </row>
    <row r="10" spans="2:13" ht="15.75" customHeight="1" x14ac:dyDescent="0.25">
      <c r="B10" s="13" t="s">
        <v>184</v>
      </c>
      <c r="C10" s="13"/>
      <c r="D10" s="13"/>
      <c r="E10" s="13"/>
      <c r="F10" s="13"/>
      <c r="G10" s="13"/>
      <c r="I10" s="13"/>
      <c r="J10" s="13"/>
      <c r="K10" s="13"/>
      <c r="L10" s="13"/>
      <c r="M10" s="13"/>
    </row>
    <row r="11" spans="2:13" ht="15.75" customHeight="1" x14ac:dyDescent="0.25">
      <c r="B11" s="2" t="s">
        <v>185</v>
      </c>
      <c r="C11" s="2">
        <f>('Income Statement &amp; Forecast'!C12+'Income Statement &amp; Forecast'!C13+'Income Statement &amp; Forecast'!C14)/C6</f>
        <v>0.55714765352587114</v>
      </c>
      <c r="D11" s="2">
        <f>('Income Statement &amp; Forecast'!D12+'Income Statement &amp; Forecast'!D13+'Income Statement &amp; Forecast'!D14)/D6</f>
        <v>0.62886409120148667</v>
      </c>
      <c r="E11" s="2">
        <f>('Income Statement &amp; Forecast'!E12+'Income Statement &amp; Forecast'!E13+'Income Statement &amp; Forecast'!E14)/E6</f>
        <v>0.61343476204739023</v>
      </c>
      <c r="F11" s="2">
        <f>('Income Statement &amp; Forecast'!F12+'Income Statement &amp; Forecast'!F13+'Income Statement &amp; Forecast'!F14)/F6</f>
        <v>0.56600543235573286</v>
      </c>
      <c r="G11" s="2">
        <f>('Income Statement &amp; Forecast'!G12+'Income Statement &amp; Forecast'!G13+'Income Statement &amp; Forecast'!G14)/G6</f>
        <v>0.57559130315269258</v>
      </c>
      <c r="I11" s="36">
        <v>0.59</v>
      </c>
      <c r="J11" s="37">
        <v>0.59</v>
      </c>
      <c r="K11" s="37">
        <v>0.59</v>
      </c>
      <c r="L11" s="37">
        <v>0.59</v>
      </c>
      <c r="M11" s="38">
        <v>0.59</v>
      </c>
    </row>
    <row r="12" spans="2:13" ht="15.75" customHeight="1" x14ac:dyDescent="0.25">
      <c r="B12" s="2" t="s">
        <v>186</v>
      </c>
      <c r="C12" s="2">
        <f>'Income Statement &amp; Forecast'!C15/C6</f>
        <v>7.0960479975166704E-2</v>
      </c>
      <c r="D12" s="2">
        <f>'Income Statement &amp; Forecast'!D15/D6</f>
        <v>6.1394893970299597E-2</v>
      </c>
      <c r="E12" s="2">
        <f>'Income Statement &amp; Forecast'!E15/E6</f>
        <v>5.8804085641077232E-2</v>
      </c>
      <c r="F12" s="2">
        <f>'Income Statement &amp; Forecast'!F15/F6</f>
        <v>6.5535926037470923E-2</v>
      </c>
      <c r="G12" s="2">
        <f>'Income Statement &amp; Forecast'!G15/G6</f>
        <v>7.6601755107265398E-2</v>
      </c>
      <c r="I12" s="36">
        <v>7.4999999999999997E-2</v>
      </c>
      <c r="J12" s="37">
        <v>7.4999999999999997E-2</v>
      </c>
      <c r="K12" s="37">
        <v>7.4999999999999997E-2</v>
      </c>
      <c r="L12" s="37">
        <v>7.4999999999999997E-2</v>
      </c>
      <c r="M12" s="38">
        <v>7.4999999999999997E-2</v>
      </c>
    </row>
    <row r="13" spans="2:13" ht="15.75" customHeight="1" x14ac:dyDescent="0.25">
      <c r="B13" s="2" t="s">
        <v>187</v>
      </c>
      <c r="C13" s="2">
        <f>'Income Statement &amp; Forecast'!C16/C6</f>
        <v>0.14826330471579194</v>
      </c>
      <c r="D13" s="2">
        <f>'Income Statement &amp; Forecast'!D16/D6</f>
        <v>0.14467576683912187</v>
      </c>
      <c r="E13" s="2">
        <f>'Income Statement &amp; Forecast'!E16/E6</f>
        <v>0.1462564865655569</v>
      </c>
      <c r="F13" s="2">
        <f>'Income Statement &amp; Forecast'!F16/F6</f>
        <v>0.15476551026025553</v>
      </c>
      <c r="G13" s="2">
        <f>'Income Statement &amp; Forecast'!G16/G6</f>
        <v>0.17066197285287804</v>
      </c>
      <c r="I13" s="36">
        <v>0.16</v>
      </c>
      <c r="J13" s="37">
        <v>0.16</v>
      </c>
      <c r="K13" s="37">
        <v>0.16</v>
      </c>
      <c r="L13" s="37">
        <v>0.16</v>
      </c>
      <c r="M13" s="38">
        <v>0.16</v>
      </c>
    </row>
    <row r="14" spans="2:13" ht="15.75" customHeight="1" x14ac:dyDescent="0.25">
      <c r="B14" s="2" t="s">
        <v>188</v>
      </c>
      <c r="D14" s="2">
        <f>'Income Statement &amp; Forecast'!D20/'Income Statement &amp; Forecast'!C20-1</f>
        <v>3.1708519215944087E-2</v>
      </c>
      <c r="E14" s="2">
        <f>'Income Statement &amp; Forecast'!E20/'Income Statement &amp; Forecast'!D20-1</f>
        <v>5.1031407712283761E-2</v>
      </c>
      <c r="F14" s="2">
        <f>'Income Statement &amp; Forecast'!F20/'Income Statement &amp; Forecast'!E20-1</f>
        <v>-5.8506794713409915E-3</v>
      </c>
      <c r="G14" s="2">
        <f>'Income Statement &amp; Forecast'!G20/'Income Statement &amp; Forecast'!F20-1</f>
        <v>0.20321219226260245</v>
      </c>
      <c r="I14" s="36">
        <v>0.08</v>
      </c>
      <c r="J14" s="37">
        <v>0.08</v>
      </c>
      <c r="K14" s="37">
        <v>0.08</v>
      </c>
      <c r="L14" s="37">
        <v>0.08</v>
      </c>
      <c r="M14" s="38">
        <v>0.08</v>
      </c>
    </row>
    <row r="15" spans="2:13" ht="15.75" customHeight="1" x14ac:dyDescent="0.25">
      <c r="B15" s="2" t="s">
        <v>189</v>
      </c>
      <c r="C15" s="2">
        <f>'Income Statement &amp; Forecast'!C30/'Income Statement &amp; Forecast'!C25</f>
        <v>0.25499785101118633</v>
      </c>
      <c r="D15" s="2">
        <f>'Income Statement &amp; Forecast'!D30/'Income Statement &amp; Forecast'!D25</f>
        <v>0.26336765590822692</v>
      </c>
      <c r="E15" s="2">
        <f>'Income Statement &amp; Forecast'!E30/'Income Statement &amp; Forecast'!E25</f>
        <v>0.26253201449155628</v>
      </c>
      <c r="F15" s="2">
        <f>'Income Statement &amp; Forecast'!F30/'Income Statement &amp; Forecast'!F25</f>
        <v>0.24362221463110573</v>
      </c>
      <c r="G15" s="2">
        <f>'Income Statement &amp; Forecast'!G30/'Income Statement &amp; Forecast'!G25</f>
        <v>0.27304348166887776</v>
      </c>
      <c r="I15" s="39">
        <v>0.26</v>
      </c>
      <c r="J15" s="40">
        <v>0.26</v>
      </c>
      <c r="K15" s="40">
        <v>0.26</v>
      </c>
      <c r="L15" s="40">
        <v>0.26</v>
      </c>
      <c r="M15" s="41">
        <v>0.26</v>
      </c>
    </row>
    <row r="17" spans="2:13" ht="15.75" customHeight="1" x14ac:dyDescent="0.25">
      <c r="B17" s="13" t="s">
        <v>190</v>
      </c>
      <c r="C17" s="13"/>
      <c r="D17" s="13"/>
      <c r="E17" s="13"/>
      <c r="F17" s="13"/>
      <c r="G17" s="13"/>
      <c r="I17" s="13"/>
      <c r="J17" s="13"/>
      <c r="K17" s="13"/>
      <c r="L17" s="13"/>
      <c r="M17" s="13"/>
    </row>
    <row r="18" spans="2:13" ht="15.75" customHeight="1" x14ac:dyDescent="0.25">
      <c r="B18" s="2" t="s">
        <v>191</v>
      </c>
      <c r="C18" s="2">
        <f>'Balance Sheet &amp; Forecast'!C26/C$6*365</f>
        <v>43.743436472235949</v>
      </c>
      <c r="D18" s="2">
        <f>'Balance Sheet &amp; Forecast'!D26/D$6*365</f>
        <v>48.557163121347244</v>
      </c>
      <c r="E18" s="2">
        <f>'Balance Sheet &amp; Forecast'!E26/E$6*365</f>
        <v>49.073711044725215</v>
      </c>
      <c r="F18" s="2">
        <f>'Balance Sheet &amp; Forecast'!F26/F$6*365</f>
        <v>50.275160566089674</v>
      </c>
      <c r="G18" s="2">
        <f>'Balance Sheet &amp; Forecast'!G26/G$6*365</f>
        <v>46.437205690384062</v>
      </c>
      <c r="I18" s="36">
        <v>50</v>
      </c>
      <c r="J18" s="37">
        <v>50</v>
      </c>
      <c r="K18" s="37">
        <v>50</v>
      </c>
      <c r="L18" s="37">
        <v>50</v>
      </c>
      <c r="M18" s="38">
        <v>50</v>
      </c>
    </row>
    <row r="19" spans="2:13" ht="15.75" customHeight="1" x14ac:dyDescent="0.25">
      <c r="B19" s="2" t="s">
        <v>192</v>
      </c>
      <c r="C19" s="2">
        <f>'Balance Sheet &amp; Forecast'!C23/(C$11*C$6)*365</f>
        <v>114.61210541586793</v>
      </c>
      <c r="D19" s="2">
        <f>'Balance Sheet &amp; Forecast'!D23/(D$11*D$6)*365</f>
        <v>122.71834214444762</v>
      </c>
      <c r="E19" s="2">
        <f>'Balance Sheet &amp; Forecast'!E23/(E$11*E$6)*365</f>
        <v>107.14832793704061</v>
      </c>
      <c r="F19" s="2">
        <f>'Balance Sheet &amp; Forecast'!F23/(F$11*F$6)*365</f>
        <v>107.6168268027064</v>
      </c>
      <c r="G19" s="2">
        <f>'Balance Sheet &amp; Forecast'!G23/(G$11*G$6)*365</f>
        <v>125.66925585346833</v>
      </c>
      <c r="I19" s="36">
        <v>125</v>
      </c>
      <c r="J19" s="37">
        <v>125</v>
      </c>
      <c r="K19" s="37">
        <v>125</v>
      </c>
      <c r="L19" s="37">
        <v>125</v>
      </c>
      <c r="M19" s="38">
        <v>125</v>
      </c>
    </row>
    <row r="20" spans="2:13" ht="15.75" customHeight="1" x14ac:dyDescent="0.25">
      <c r="B20" s="2" t="s">
        <v>193</v>
      </c>
      <c r="C20" s="2">
        <f>('Balance Sheet &amp; Forecast'!C56+'Balance Sheet &amp; Forecast'!C57)/(C$11*C$6)*365</f>
        <v>101.94340357255341</v>
      </c>
      <c r="D20" s="2">
        <f>('Balance Sheet &amp; Forecast'!D56+'Balance Sheet &amp; Forecast'!D57)/(D$11*D$6)*365</f>
        <v>83.055038727920987</v>
      </c>
      <c r="E20" s="2">
        <f>('Balance Sheet &amp; Forecast'!E56+'Balance Sheet &amp; Forecast'!E57)/(E$11*E$6)*365</f>
        <v>62.719996218656192</v>
      </c>
      <c r="F20" s="2">
        <f>('Balance Sheet &amp; Forecast'!F56+'Balance Sheet &amp; Forecast'!F57)/(F$11*F$6)*365</f>
        <v>69.607988169362102</v>
      </c>
      <c r="G20" s="2">
        <f>('Balance Sheet &amp; Forecast'!G56+'Balance Sheet &amp; Forecast'!G57)/(G$11*G$6)*365</f>
        <v>71.968427600639075</v>
      </c>
      <c r="I20" s="39">
        <v>70</v>
      </c>
      <c r="J20" s="40">
        <v>70</v>
      </c>
      <c r="K20" s="40">
        <v>70</v>
      </c>
      <c r="L20" s="40">
        <v>70</v>
      </c>
      <c r="M20" s="41">
        <v>70</v>
      </c>
    </row>
    <row r="22" spans="2:13" ht="15.75" customHeight="1" x14ac:dyDescent="0.25">
      <c r="B22" s="13" t="s">
        <v>194</v>
      </c>
      <c r="C22" s="13"/>
      <c r="D22" s="13"/>
      <c r="E22" s="13"/>
      <c r="F22" s="13"/>
      <c r="G22" s="13"/>
      <c r="I22" s="13"/>
      <c r="J22" s="13"/>
      <c r="K22" s="13"/>
      <c r="L22" s="13"/>
      <c r="M22" s="13"/>
    </row>
    <row r="23" spans="2:13" ht="15.75" customHeight="1" x14ac:dyDescent="0.25">
      <c r="B23" s="2" t="s">
        <v>195</v>
      </c>
      <c r="C23" s="2">
        <f>-'Cash Flow Statement &amp; Forecast'!C45/C$6</f>
        <v>1.298174946655865E-2</v>
      </c>
      <c r="D23" s="2">
        <f>-'Cash Flow Statement &amp; Forecast'!D45/D$6</f>
        <v>1.8495406387622815E-2</v>
      </c>
      <c r="E23" s="2">
        <f>-'Cash Flow Statement &amp; Forecast'!E45/E$6</f>
        <v>3.6921486207467449E-2</v>
      </c>
      <c r="F23" s="2">
        <f>-'Cash Flow Statement &amp; Forecast'!F45/F$6</f>
        <v>6.1953140649330211E-2</v>
      </c>
      <c r="G23" s="2">
        <f>-'Cash Flow Statement &amp; Forecast'!G45/G$6</f>
        <v>5.3245450164309038E-2</v>
      </c>
      <c r="I23" s="36">
        <v>7.0000000000000007E-2</v>
      </c>
      <c r="J23" s="37">
        <v>7.0000000000000007E-2</v>
      </c>
      <c r="K23" s="37">
        <v>0.06</v>
      </c>
      <c r="L23" s="37">
        <v>0.06</v>
      </c>
      <c r="M23" s="38">
        <v>0.06</v>
      </c>
    </row>
    <row r="24" spans="2:13" ht="15.75" customHeight="1" x14ac:dyDescent="0.25">
      <c r="B24" s="2" t="s">
        <v>196</v>
      </c>
      <c r="C24" s="2">
        <f>'Income Statement &amp; Forecast'!C19/C$6</f>
        <v>4.2200933182700148E-3</v>
      </c>
      <c r="D24" s="2">
        <f>'Income Statement &amp; Forecast'!D19/D$6</f>
        <v>3.2785499469439143E-3</v>
      </c>
      <c r="E24" s="2">
        <f>'Income Statement &amp; Forecast'!E19/E$6</f>
        <v>4.1883417095334996E-3</v>
      </c>
      <c r="F24" s="2">
        <f>'Income Statement &amp; Forecast'!F19/F$6</f>
        <v>5.7802947085384224E-3</v>
      </c>
      <c r="G24" s="2">
        <f>'Income Statement &amp; Forecast'!G19/G$6</f>
        <v>6.6956451467337858E-3</v>
      </c>
      <c r="I24" s="36">
        <v>6.4999999999999997E-3</v>
      </c>
      <c r="J24" s="37">
        <v>6.4999999999999997E-3</v>
      </c>
      <c r="K24" s="37">
        <v>6.4999999999999997E-3</v>
      </c>
      <c r="L24" s="37">
        <v>6.4999999999999997E-3</v>
      </c>
      <c r="M24" s="38">
        <v>6.4999999999999997E-3</v>
      </c>
    </row>
    <row r="25" spans="2:13" ht="15.75" customHeight="1" x14ac:dyDescent="0.25">
      <c r="B25" s="2" t="s">
        <v>197</v>
      </c>
      <c r="C25" s="2">
        <f>-'Cash Flow Statement &amp; Forecast'!C70/'Income Statement &amp; Forecast'!C31</f>
        <v>0.15571840648631793</v>
      </c>
      <c r="D25" s="2">
        <f>-'Cash Flow Statement &amp; Forecast'!D70/'Income Statement &amp; Forecast'!D31</f>
        <v>0.57144524298092914</v>
      </c>
      <c r="E25" s="2">
        <f>-'Cash Flow Statement &amp; Forecast'!E70/'Income Statement &amp; Forecast'!E31</f>
        <v>0.46147740463801418</v>
      </c>
      <c r="F25" s="2">
        <f>-'Cash Flow Statement &amp; Forecast'!F70/'Income Statement &amp; Forecast'!F31</f>
        <v>0.45898205909289658</v>
      </c>
      <c r="G25" s="2">
        <f>-'Cash Flow Statement &amp; Forecast'!G70/'Income Statement &amp; Forecast'!G31</f>
        <v>0.84648395696698664</v>
      </c>
      <c r="I25" s="39">
        <v>0.7</v>
      </c>
      <c r="J25" s="40">
        <v>0.7</v>
      </c>
      <c r="K25" s="40">
        <v>0.7</v>
      </c>
      <c r="L25" s="40">
        <v>0.7</v>
      </c>
      <c r="M25" s="41">
        <v>0.7</v>
      </c>
    </row>
    <row r="27" spans="2:13" ht="15.75" customHeight="1" x14ac:dyDescent="0.25">
      <c r="B27" s="13" t="s">
        <v>198</v>
      </c>
      <c r="C27" s="13"/>
      <c r="D27" s="13"/>
      <c r="E27" s="13"/>
      <c r="F27" s="13"/>
      <c r="G27" s="13"/>
      <c r="I27" s="13"/>
      <c r="J27" s="13"/>
      <c r="K27" s="13"/>
      <c r="L27" s="13"/>
      <c r="M27" s="13"/>
    </row>
    <row r="28" spans="2:13" ht="15.75" customHeight="1" x14ac:dyDescent="0.25">
      <c r="B28" s="2" t="s">
        <v>199</v>
      </c>
      <c r="C28" s="2">
        <f>'Balance Sheet &amp; Forecast'!C37</f>
        <v>95.92</v>
      </c>
      <c r="D28" s="2">
        <f>'Balance Sheet &amp; Forecast'!D37</f>
        <v>95.92</v>
      </c>
      <c r="E28" s="2">
        <f>'Balance Sheet &amp; Forecast'!E37</f>
        <v>95.92</v>
      </c>
      <c r="F28" s="2">
        <f>'Balance Sheet &amp; Forecast'!F37</f>
        <v>95.92</v>
      </c>
      <c r="G28" s="2">
        <f>'Balance Sheet &amp; Forecast'!G37</f>
        <v>95.92</v>
      </c>
      <c r="I28" s="36">
        <f>G28</f>
        <v>95.92</v>
      </c>
      <c r="J28" s="37">
        <f t="shared" ref="J28:M28" si="2">I28</f>
        <v>95.92</v>
      </c>
      <c r="K28" s="37">
        <f t="shared" si="2"/>
        <v>95.92</v>
      </c>
      <c r="L28" s="37">
        <f t="shared" si="2"/>
        <v>95.92</v>
      </c>
      <c r="M28" s="38">
        <f t="shared" si="2"/>
        <v>95.92</v>
      </c>
    </row>
    <row r="29" spans="2:13" ht="15.75" customHeight="1" x14ac:dyDescent="0.25">
      <c r="B29" s="2" t="s">
        <v>200</v>
      </c>
      <c r="D29" s="2">
        <f>'Income Statement &amp; Forecast'!D22/'Income Statement &amp; Forecast'!C22-1</f>
        <v>0.1038461538461537</v>
      </c>
      <c r="E29" s="2">
        <f>'Income Statement &amp; Forecast'!E22/'Income Statement &amp; Forecast'!D22-1</f>
        <v>1.9727589483687042</v>
      </c>
      <c r="F29" s="2">
        <f>'Income Statement &amp; Forecast'!F22/'Income Statement &amp; Forecast'!E22-1</f>
        <v>0.41715503462972836</v>
      </c>
      <c r="G29" s="2">
        <f>'Income Statement &amp; Forecast'!G22/'Income Statement &amp; Forecast'!F22-1</f>
        <v>5.7969924812030227E-2</v>
      </c>
      <c r="I29" s="36">
        <v>0.05</v>
      </c>
      <c r="J29" s="37">
        <v>0.05</v>
      </c>
      <c r="K29" s="37">
        <v>0.05</v>
      </c>
      <c r="L29" s="37">
        <v>0.05</v>
      </c>
      <c r="M29" s="38">
        <v>0.05</v>
      </c>
    </row>
    <row r="30" spans="2:13" ht="15.75" customHeight="1" x14ac:dyDescent="0.25">
      <c r="B30" s="2" t="s">
        <v>201</v>
      </c>
      <c r="C30" s="2">
        <f>'Income Statement &amp; Forecast'!C36/'Income Statement &amp; Forecast'!C31</f>
        <v>2.1036875341077413E-2</v>
      </c>
      <c r="D30" s="2">
        <f>'Income Statement &amp; Forecast'!D36/'Income Statement &amp; Forecast'!D31</f>
        <v>1.7582930553259359E-2</v>
      </c>
      <c r="E30" s="2">
        <f>'Income Statement &amp; Forecast'!E36/'Income Statement &amp; Forecast'!E31</f>
        <v>2.1185460976848067E-2</v>
      </c>
      <c r="F30" s="2">
        <f>'Income Statement &amp; Forecast'!F36/'Income Statement &amp; Forecast'!F31</f>
        <v>1.7536062644731894E-2</v>
      </c>
      <c r="G30" s="2">
        <f>'Income Statement &amp; Forecast'!G36/'Income Statement &amp; Forecast'!G31</f>
        <v>1.1451029864868142E-2</v>
      </c>
      <c r="I30" s="39">
        <v>1.15E-2</v>
      </c>
      <c r="J30" s="40">
        <v>1.15E-2</v>
      </c>
      <c r="K30" s="40">
        <v>1.15E-2</v>
      </c>
      <c r="L30" s="40">
        <v>1.15E-2</v>
      </c>
      <c r="M30" s="41">
        <v>1.15E-2</v>
      </c>
    </row>
  </sheetData>
  <mergeCells count="2">
    <mergeCell ref="I3:M3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D29A-6AEE-44E6-B26A-692EA5DB3D12}">
  <sheetPr>
    <tabColor theme="3" tint="-0.249977111117893"/>
  </sheetPr>
  <dimension ref="A1:M65"/>
  <sheetViews>
    <sheetView showGridLines="0" tabSelected="1" zoomScale="75" zoomScaleNormal="82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36" sqref="O36"/>
    </sheetView>
  </sheetViews>
  <sheetFormatPr defaultRowHeight="15.75" customHeight="1" x14ac:dyDescent="0.25"/>
  <cols>
    <col min="1" max="1" width="3.5546875" style="2" customWidth="1"/>
    <col min="2" max="2" width="57.77734375" style="2" customWidth="1"/>
    <col min="3" max="7" width="14.109375" style="2" customWidth="1"/>
    <col min="8" max="8" width="5.88671875" customWidth="1"/>
    <col min="9" max="13" width="13.33203125" style="2" customWidth="1"/>
    <col min="14" max="16384" width="8.88671875" style="2"/>
  </cols>
  <sheetData>
    <row r="1" spans="2:13" ht="21" x14ac:dyDescent="0.25">
      <c r="B1" s="327" t="s">
        <v>0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2:13" ht="15.75" customHeight="1" x14ac:dyDescent="0.25">
      <c r="B2" s="3" t="s">
        <v>171</v>
      </c>
    </row>
    <row r="3" spans="2:13" ht="15.75" customHeight="1" x14ac:dyDescent="0.25">
      <c r="C3" s="4" t="s">
        <v>1</v>
      </c>
      <c r="D3" s="4"/>
      <c r="E3" s="4"/>
      <c r="F3" s="4"/>
      <c r="G3" s="4"/>
      <c r="I3" s="325" t="s">
        <v>175</v>
      </c>
      <c r="J3" s="325"/>
      <c r="K3" s="325"/>
      <c r="L3" s="325"/>
      <c r="M3" s="325"/>
    </row>
    <row r="4" spans="2:13" ht="15.75" customHeight="1" thickBot="1" x14ac:dyDescent="0.3"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I4" s="42" t="s">
        <v>176</v>
      </c>
      <c r="J4" s="42" t="s">
        <v>177</v>
      </c>
      <c r="K4" s="42" t="s">
        <v>178</v>
      </c>
      <c r="L4" s="42" t="s">
        <v>179</v>
      </c>
      <c r="M4" s="42" t="s">
        <v>180</v>
      </c>
    </row>
    <row r="5" spans="2:13" ht="15.75" customHeight="1" x14ac:dyDescent="0.25">
      <c r="B5" s="13" t="s">
        <v>8</v>
      </c>
      <c r="C5" s="13"/>
      <c r="D5" s="13"/>
      <c r="E5" s="13"/>
      <c r="F5" s="13"/>
      <c r="G5" s="13"/>
      <c r="I5" s="26"/>
      <c r="J5" s="26"/>
      <c r="K5" s="26"/>
      <c r="L5" s="26"/>
      <c r="M5" s="26"/>
    </row>
    <row r="6" spans="2:13" ht="15.75" customHeight="1" x14ac:dyDescent="0.25">
      <c r="B6" s="12" t="s">
        <v>9</v>
      </c>
      <c r="C6" s="12"/>
      <c r="D6" s="12"/>
      <c r="E6" s="12"/>
      <c r="F6" s="12"/>
      <c r="G6" s="12"/>
      <c r="I6" s="30"/>
      <c r="J6" s="30"/>
      <c r="K6" s="30"/>
      <c r="L6" s="30"/>
      <c r="M6" s="30"/>
    </row>
    <row r="7" spans="2:13" ht="15.75" customHeight="1" x14ac:dyDescent="0.25">
      <c r="B7" s="5" t="s">
        <v>10</v>
      </c>
      <c r="C7" s="5">
        <v>4476.3500000000004</v>
      </c>
      <c r="D7" s="5">
        <v>4184.46</v>
      </c>
      <c r="E7" s="5">
        <v>4145.6499999999996</v>
      </c>
      <c r="F7" s="5">
        <v>4446.2</v>
      </c>
      <c r="G7" s="5">
        <v>6787.62</v>
      </c>
      <c r="I7" s="21">
        <f>G7+Assumptions!I23*(Assumptions!I6)-'Income Statement &amp; Forecast'!I20</f>
        <v>8194.9698040000003</v>
      </c>
      <c r="J7" s="21">
        <f>I7+Assumptions!J23*(Assumptions!J6)-'Income Statement &amp; Forecast'!J20</f>
        <v>9714.9075923199998</v>
      </c>
      <c r="K7" s="21">
        <f>J7+Assumptions!K23*(Assumptions!K6)-'Income Statement &amp; Forecast'!K20</f>
        <v>10937.236742924801</v>
      </c>
      <c r="L7" s="21">
        <f>K7+Assumptions!L23*(Assumptions!L6)-'Income Statement &amp; Forecast'!L20</f>
        <v>12257.352225577984</v>
      </c>
      <c r="M7" s="21">
        <f>L7+Assumptions!M23*(Assumptions!M6)-'Income Statement &amp; Forecast'!M20</f>
        <v>13655.912549624827</v>
      </c>
    </row>
    <row r="8" spans="2:13" ht="15.75" customHeight="1" x14ac:dyDescent="0.25">
      <c r="B8" s="5" t="s">
        <v>11</v>
      </c>
      <c r="C8" s="5">
        <v>845.55</v>
      </c>
      <c r="D8" s="5">
        <v>905.75</v>
      </c>
      <c r="E8" s="5">
        <v>1208.92</v>
      </c>
      <c r="F8" s="5">
        <v>1856.27</v>
      </c>
      <c r="G8" s="5">
        <v>1843.72</v>
      </c>
      <c r="I8" s="21">
        <f>G8</f>
        <v>1843.72</v>
      </c>
      <c r="J8" s="21">
        <f t="shared" ref="J8:M11" si="0">I8</f>
        <v>1843.72</v>
      </c>
      <c r="K8" s="21">
        <f t="shared" si="0"/>
        <v>1843.72</v>
      </c>
      <c r="L8" s="21">
        <f t="shared" si="0"/>
        <v>1843.72</v>
      </c>
      <c r="M8" s="21">
        <f t="shared" si="0"/>
        <v>1843.72</v>
      </c>
    </row>
    <row r="9" spans="2:13" ht="15.75" customHeight="1" x14ac:dyDescent="0.25">
      <c r="B9" s="5" t="s">
        <v>12</v>
      </c>
      <c r="C9" s="5">
        <v>182.98</v>
      </c>
      <c r="D9" s="5">
        <v>426.43</v>
      </c>
      <c r="E9" s="5">
        <v>1019.59</v>
      </c>
      <c r="F9" s="5">
        <v>2698.37</v>
      </c>
      <c r="G9" s="5">
        <v>1254.49</v>
      </c>
      <c r="I9" s="21">
        <f>G9</f>
        <v>1254.49</v>
      </c>
      <c r="J9" s="21">
        <f t="shared" si="0"/>
        <v>1254.49</v>
      </c>
      <c r="K9" s="21">
        <f t="shared" si="0"/>
        <v>1254.49</v>
      </c>
      <c r="L9" s="21">
        <f t="shared" si="0"/>
        <v>1254.49</v>
      </c>
      <c r="M9" s="21">
        <f t="shared" si="0"/>
        <v>1254.49</v>
      </c>
    </row>
    <row r="10" spans="2:13" ht="15.75" customHeight="1" x14ac:dyDescent="0.25">
      <c r="B10" s="5" t="s">
        <v>13</v>
      </c>
      <c r="C10" s="5">
        <v>302.63</v>
      </c>
      <c r="D10" s="5">
        <v>242.86</v>
      </c>
      <c r="E10" s="5">
        <v>228.48</v>
      </c>
      <c r="F10" s="5">
        <v>419.19</v>
      </c>
      <c r="G10" s="5">
        <v>219.58</v>
      </c>
      <c r="I10" s="21">
        <f>G10</f>
        <v>219.58</v>
      </c>
      <c r="J10" s="21">
        <f t="shared" si="0"/>
        <v>219.58</v>
      </c>
      <c r="K10" s="21">
        <f t="shared" si="0"/>
        <v>219.58</v>
      </c>
      <c r="L10" s="21">
        <f t="shared" si="0"/>
        <v>219.58</v>
      </c>
      <c r="M10" s="21">
        <f t="shared" si="0"/>
        <v>219.58</v>
      </c>
    </row>
    <row r="11" spans="2:13" ht="15.75" customHeight="1" x14ac:dyDescent="0.25">
      <c r="B11" s="5" t="s">
        <v>14</v>
      </c>
      <c r="C11" s="5">
        <v>233.99</v>
      </c>
      <c r="D11" s="5">
        <v>185.99</v>
      </c>
      <c r="E11" s="5">
        <v>187.41</v>
      </c>
      <c r="F11" s="5">
        <v>424.96</v>
      </c>
      <c r="G11" s="5">
        <v>369.18</v>
      </c>
      <c r="I11" s="21">
        <f>G11</f>
        <v>369.18</v>
      </c>
      <c r="J11" s="21">
        <f t="shared" si="0"/>
        <v>369.18</v>
      </c>
      <c r="K11" s="21">
        <f t="shared" si="0"/>
        <v>369.18</v>
      </c>
      <c r="L11" s="21">
        <f t="shared" si="0"/>
        <v>369.18</v>
      </c>
      <c r="M11" s="21">
        <f t="shared" si="0"/>
        <v>369.18</v>
      </c>
    </row>
    <row r="12" spans="2:13" ht="15.75" customHeight="1" x14ac:dyDescent="0.25">
      <c r="B12" s="5" t="s">
        <v>15</v>
      </c>
      <c r="C12" s="5">
        <v>483.9</v>
      </c>
      <c r="D12" s="5">
        <v>515.47</v>
      </c>
      <c r="E12" s="5">
        <v>781.73</v>
      </c>
      <c r="F12" s="5">
        <v>583.13</v>
      </c>
      <c r="G12" s="5">
        <v>608</v>
      </c>
      <c r="I12" s="21">
        <f>G12+'Income Statement &amp; Forecast'!I22</f>
        <v>755.74549999999999</v>
      </c>
      <c r="J12" s="21">
        <f>I12+'Income Statement &amp; Forecast'!J22</f>
        <v>910.87827500000003</v>
      </c>
      <c r="K12" s="21">
        <f>J12+'Income Statement &amp; Forecast'!K22</f>
        <v>1073.7676887500002</v>
      </c>
      <c r="L12" s="21">
        <f>K12+'Income Statement &amp; Forecast'!L22</f>
        <v>1244.8015731875003</v>
      </c>
      <c r="M12" s="21">
        <f>L12+'Income Statement &amp; Forecast'!M22</f>
        <v>1424.3871518468754</v>
      </c>
    </row>
    <row r="13" spans="2:13" ht="15.75" customHeight="1" x14ac:dyDescent="0.25">
      <c r="B13" s="7" t="s">
        <v>16</v>
      </c>
      <c r="I13" s="23"/>
      <c r="J13" s="23"/>
      <c r="K13" s="23"/>
      <c r="L13" s="23"/>
      <c r="M13" s="23"/>
    </row>
    <row r="14" spans="2:13" ht="15.75" customHeight="1" x14ac:dyDescent="0.25">
      <c r="B14" s="19" t="s">
        <v>17</v>
      </c>
      <c r="C14" s="2">
        <v>985.78</v>
      </c>
      <c r="D14" s="2">
        <v>551.36</v>
      </c>
      <c r="E14" s="2">
        <v>782.98</v>
      </c>
      <c r="F14" s="2">
        <v>801.38</v>
      </c>
      <c r="G14" s="2">
        <v>871.79</v>
      </c>
      <c r="I14" s="21">
        <f t="shared" ref="I14:I20" si="1">G14</f>
        <v>871.79</v>
      </c>
      <c r="J14" s="21">
        <f t="shared" ref="J14:M20" si="2">I14</f>
        <v>871.79</v>
      </c>
      <c r="K14" s="21">
        <f t="shared" si="2"/>
        <v>871.79</v>
      </c>
      <c r="L14" s="21">
        <f t="shared" si="2"/>
        <v>871.79</v>
      </c>
      <c r="M14" s="21">
        <f t="shared" si="2"/>
        <v>871.79</v>
      </c>
    </row>
    <row r="15" spans="2:13" ht="15.75" customHeight="1" x14ac:dyDescent="0.25">
      <c r="B15" s="19" t="s">
        <v>18</v>
      </c>
      <c r="C15" s="2">
        <v>2.89</v>
      </c>
      <c r="D15" s="2">
        <v>2.4</v>
      </c>
      <c r="E15" s="2">
        <v>2.17</v>
      </c>
      <c r="F15" s="2">
        <v>1.78</v>
      </c>
      <c r="G15" s="2">
        <v>8.7100000000000009</v>
      </c>
      <c r="I15" s="21">
        <f t="shared" si="1"/>
        <v>8.7100000000000009</v>
      </c>
      <c r="J15" s="21">
        <f t="shared" si="2"/>
        <v>8.7100000000000009</v>
      </c>
      <c r="K15" s="21">
        <f t="shared" si="2"/>
        <v>8.7100000000000009</v>
      </c>
      <c r="L15" s="21">
        <f t="shared" si="2"/>
        <v>8.7100000000000009</v>
      </c>
      <c r="M15" s="21">
        <f t="shared" si="2"/>
        <v>8.7100000000000009</v>
      </c>
    </row>
    <row r="16" spans="2:13" ht="15.75" customHeight="1" x14ac:dyDescent="0.25">
      <c r="B16" s="19" t="s">
        <v>19</v>
      </c>
      <c r="C16" s="2">
        <v>61.89</v>
      </c>
      <c r="I16" s="21">
        <f t="shared" si="1"/>
        <v>0</v>
      </c>
      <c r="J16" s="21">
        <f t="shared" si="2"/>
        <v>0</v>
      </c>
      <c r="K16" s="21">
        <f t="shared" si="2"/>
        <v>0</v>
      </c>
      <c r="L16" s="21">
        <f t="shared" si="2"/>
        <v>0</v>
      </c>
      <c r="M16" s="21">
        <f t="shared" si="2"/>
        <v>0</v>
      </c>
    </row>
    <row r="17" spans="2:13" ht="15.75" customHeight="1" x14ac:dyDescent="0.25">
      <c r="B17" s="19" t="s">
        <v>20</v>
      </c>
      <c r="C17" s="2">
        <v>532.16999999999996</v>
      </c>
      <c r="D17" s="2">
        <v>486.05</v>
      </c>
      <c r="E17" s="2">
        <v>363.18</v>
      </c>
      <c r="F17" s="2">
        <v>606.51</v>
      </c>
      <c r="G17" s="2">
        <v>877.84</v>
      </c>
      <c r="I17" s="21">
        <f t="shared" si="1"/>
        <v>877.84</v>
      </c>
      <c r="J17" s="21">
        <f t="shared" si="2"/>
        <v>877.84</v>
      </c>
      <c r="K17" s="21">
        <f t="shared" si="2"/>
        <v>877.84</v>
      </c>
      <c r="L17" s="21">
        <f t="shared" si="2"/>
        <v>877.84</v>
      </c>
      <c r="M17" s="21">
        <f t="shared" si="2"/>
        <v>877.84</v>
      </c>
    </row>
    <row r="18" spans="2:13" ht="15.75" customHeight="1" x14ac:dyDescent="0.25">
      <c r="B18" s="5" t="s">
        <v>21</v>
      </c>
      <c r="C18" s="5">
        <v>14.28</v>
      </c>
      <c r="D18" s="5">
        <v>26.02</v>
      </c>
      <c r="E18" s="5">
        <v>18.670000000000002</v>
      </c>
      <c r="F18" s="5">
        <v>23.32</v>
      </c>
      <c r="G18" s="5">
        <v>16.12</v>
      </c>
      <c r="I18" s="21">
        <f t="shared" si="1"/>
        <v>16.12</v>
      </c>
      <c r="J18" s="21">
        <f t="shared" si="2"/>
        <v>16.12</v>
      </c>
      <c r="K18" s="21">
        <f t="shared" si="2"/>
        <v>16.12</v>
      </c>
      <c r="L18" s="21">
        <f t="shared" si="2"/>
        <v>16.12</v>
      </c>
      <c r="M18" s="21">
        <f t="shared" si="2"/>
        <v>16.12</v>
      </c>
    </row>
    <row r="19" spans="2:13" ht="15.75" customHeight="1" x14ac:dyDescent="0.25">
      <c r="B19" s="5" t="s">
        <v>22</v>
      </c>
      <c r="C19" s="5">
        <v>152.22999999999999</v>
      </c>
      <c r="D19" s="5">
        <v>172.46</v>
      </c>
      <c r="E19" s="5">
        <v>189.52</v>
      </c>
      <c r="F19" s="5">
        <v>198.11</v>
      </c>
      <c r="G19" s="5">
        <v>221.62</v>
      </c>
      <c r="I19" s="21">
        <f t="shared" si="1"/>
        <v>221.62</v>
      </c>
      <c r="J19" s="21">
        <f t="shared" si="2"/>
        <v>221.62</v>
      </c>
      <c r="K19" s="21">
        <f t="shared" si="2"/>
        <v>221.62</v>
      </c>
      <c r="L19" s="21">
        <f t="shared" si="2"/>
        <v>221.62</v>
      </c>
      <c r="M19" s="21">
        <f t="shared" si="2"/>
        <v>221.62</v>
      </c>
    </row>
    <row r="20" spans="2:13" ht="15.75" customHeight="1" x14ac:dyDescent="0.25">
      <c r="B20" s="5" t="s">
        <v>23</v>
      </c>
      <c r="C20" s="5">
        <v>68.38</v>
      </c>
      <c r="D20" s="5">
        <v>132.87</v>
      </c>
      <c r="E20" s="5">
        <v>334.54</v>
      </c>
      <c r="F20" s="5">
        <v>327.81</v>
      </c>
      <c r="G20" s="5">
        <v>301.02</v>
      </c>
      <c r="I20" s="21">
        <f t="shared" si="1"/>
        <v>301.02</v>
      </c>
      <c r="J20" s="21">
        <f t="shared" si="2"/>
        <v>301.02</v>
      </c>
      <c r="K20" s="21">
        <f t="shared" si="2"/>
        <v>301.02</v>
      </c>
      <c r="L20" s="21">
        <f t="shared" si="2"/>
        <v>301.02</v>
      </c>
      <c r="M20" s="21">
        <f t="shared" si="2"/>
        <v>301.02</v>
      </c>
    </row>
    <row r="21" spans="2:13" ht="15.75" customHeight="1" x14ac:dyDescent="0.25">
      <c r="B21" s="2" t="s">
        <v>24</v>
      </c>
      <c r="C21" s="2">
        <v>8343.02</v>
      </c>
      <c r="D21" s="2">
        <v>7832.12</v>
      </c>
      <c r="E21" s="2">
        <v>9262.84</v>
      </c>
      <c r="F21" s="2">
        <v>12387.03</v>
      </c>
      <c r="G21" s="2">
        <v>13379.69</v>
      </c>
      <c r="I21" s="23">
        <f t="shared" ref="I21:M21" si="3">SUM(I7:I12)+SUM(I14:I20)</f>
        <v>14934.785303999999</v>
      </c>
      <c r="J21" s="23">
        <f t="shared" si="3"/>
        <v>16609.855867319999</v>
      </c>
      <c r="K21" s="23">
        <f t="shared" si="3"/>
        <v>17995.074431674799</v>
      </c>
      <c r="L21" s="23">
        <f t="shared" si="3"/>
        <v>19486.223798765481</v>
      </c>
      <c r="M21" s="23">
        <f t="shared" si="3"/>
        <v>21064.369701471704</v>
      </c>
    </row>
    <row r="22" spans="2:13" ht="15.75" customHeight="1" x14ac:dyDescent="0.25">
      <c r="B22" s="12" t="s">
        <v>25</v>
      </c>
      <c r="C22" s="12"/>
      <c r="D22" s="12"/>
      <c r="E22" s="12"/>
      <c r="F22" s="12"/>
      <c r="G22" s="12"/>
      <c r="I22" s="23"/>
      <c r="J22" s="23"/>
      <c r="K22" s="23"/>
      <c r="L22" s="23"/>
      <c r="M22" s="23"/>
    </row>
    <row r="23" spans="2:13" ht="15.75" customHeight="1" x14ac:dyDescent="0.25">
      <c r="B23" s="5" t="s">
        <v>26</v>
      </c>
      <c r="C23" s="5">
        <v>3798.6</v>
      </c>
      <c r="D23" s="5">
        <v>6152.98</v>
      </c>
      <c r="E23" s="5">
        <v>6210.64</v>
      </c>
      <c r="F23" s="5">
        <v>5923.41</v>
      </c>
      <c r="G23" s="5">
        <v>6719.27</v>
      </c>
      <c r="I23" s="21">
        <f>Assumptions!I19*(Assumptions!I11*(Assumptions!I6+'Income Statement &amp; Forecast'!I7+'Income Statement &amp; Forecast'!I8))/365</f>
        <v>7321.5535164383573</v>
      </c>
      <c r="J23" s="21">
        <f>Assumptions!J19*(Assumptions!J11*(Assumptions!J6+'Income Statement &amp; Forecast'!J7+'Income Statement &amp; Forecast'!J8))/365</f>
        <v>7907.2777977534261</v>
      </c>
      <c r="K23" s="21">
        <f>Assumptions!K19*(Assumptions!K11*(Assumptions!K6+'Income Statement &amp; Forecast'!K7+'Income Statement &amp; Forecast'!K8))/365</f>
        <v>8539.8600215737006</v>
      </c>
      <c r="L23" s="21">
        <f>Assumptions!L19*(Assumptions!L11*(Assumptions!L6+'Income Statement &amp; Forecast'!L7+'Income Statement &amp; Forecast'!L8))/365</f>
        <v>9223.0488232995976</v>
      </c>
      <c r="M23" s="21">
        <f>Assumptions!M19*(Assumptions!M11*(Assumptions!M6+'Income Statement &amp; Forecast'!M7+'Income Statement &amp; Forecast'!M8))/365</f>
        <v>9868.662240930571</v>
      </c>
    </row>
    <row r="24" spans="2:13" ht="15.75" customHeight="1" x14ac:dyDescent="0.25">
      <c r="B24" s="7" t="s">
        <v>16</v>
      </c>
      <c r="I24" s="23"/>
      <c r="J24" s="23"/>
      <c r="K24" s="23"/>
      <c r="L24" s="23"/>
      <c r="M24" s="23"/>
    </row>
    <row r="25" spans="2:13" ht="15.75" customHeight="1" x14ac:dyDescent="0.25">
      <c r="B25" s="19" t="s">
        <v>17</v>
      </c>
      <c r="C25" s="2">
        <v>3267.12</v>
      </c>
      <c r="D25" s="2">
        <v>2180.6999999999998</v>
      </c>
      <c r="E25" s="2">
        <v>2697</v>
      </c>
      <c r="F25" s="2">
        <v>3203.41</v>
      </c>
      <c r="G25" s="2">
        <v>3244.96</v>
      </c>
      <c r="I25" s="21">
        <f>G25</f>
        <v>3244.96</v>
      </c>
      <c r="J25" s="21">
        <f t="shared" ref="J25:M25" si="4">I25</f>
        <v>3244.96</v>
      </c>
      <c r="K25" s="21">
        <f t="shared" si="4"/>
        <v>3244.96</v>
      </c>
      <c r="L25" s="21">
        <f t="shared" si="4"/>
        <v>3244.96</v>
      </c>
      <c r="M25" s="21">
        <f t="shared" si="4"/>
        <v>3244.96</v>
      </c>
    </row>
    <row r="26" spans="2:13" ht="15.75" customHeight="1" x14ac:dyDescent="0.25">
      <c r="B26" s="19" t="s">
        <v>18</v>
      </c>
      <c r="C26" s="2">
        <v>2602.17</v>
      </c>
      <c r="D26" s="2">
        <v>3871.44</v>
      </c>
      <c r="E26" s="2">
        <v>4636.9399999999996</v>
      </c>
      <c r="F26" s="2">
        <v>4889.05</v>
      </c>
      <c r="G26" s="2">
        <v>4313.6499999999996</v>
      </c>
      <c r="I26" s="21">
        <f>Assumptions!I18*(Assumptions!I6+'Income Statement &amp; Forecast'!I7+'Income Statement &amp; Forecast'!I8)/365</f>
        <v>4963.7650958904114</v>
      </c>
      <c r="J26" s="21">
        <f>Assumptions!J18*(Assumptions!J6+'Income Statement &amp; Forecast'!J7+'Income Statement &amp; Forecast'!J8)/365</f>
        <v>5360.8663035616455</v>
      </c>
      <c r="K26" s="21">
        <f>Assumptions!K18*(Assumptions!K6+'Income Statement &amp; Forecast'!K7+'Income Statement &amp; Forecast'!K8)/365</f>
        <v>5789.7356078465773</v>
      </c>
      <c r="L26" s="21">
        <f>Assumptions!L18*(Assumptions!L6+'Income Statement &amp; Forecast'!L7+'Income Statement &amp; Forecast'!L8)/365</f>
        <v>6252.9144564743037</v>
      </c>
      <c r="M26" s="21">
        <f>Assumptions!M18*(Assumptions!M6+'Income Statement &amp; Forecast'!M7+'Income Statement &amp; Forecast'!M8)/365</f>
        <v>6690.6184684275058</v>
      </c>
    </row>
    <row r="27" spans="2:13" ht="15.75" customHeight="1" x14ac:dyDescent="0.25">
      <c r="B27" s="19" t="s">
        <v>27</v>
      </c>
      <c r="C27" s="2">
        <v>346.39</v>
      </c>
      <c r="D27" s="2">
        <v>621.72</v>
      </c>
      <c r="E27" s="2">
        <v>523.1</v>
      </c>
      <c r="F27" s="2">
        <v>829.34</v>
      </c>
      <c r="G27" s="2">
        <v>445.28</v>
      </c>
      <c r="I27" s="21">
        <f>G27+'Cash Flow Statement &amp; Forecast'!I73</f>
        <v>-845.81374554289027</v>
      </c>
      <c r="J27" s="21">
        <f>I27+'Cash Flow Statement &amp; Forecast'!J73</f>
        <v>-1810.7675676359211</v>
      </c>
      <c r="K27" s="21">
        <f>J27+'Cash Flow Statement &amp; Forecast'!K73</f>
        <v>-2430.5372357470969</v>
      </c>
      <c r="L27" s="21">
        <f>K27+'Cash Flow Statement &amp; Forecast'!L73</f>
        <v>-3097.4186383902415</v>
      </c>
      <c r="M27" s="21">
        <f>L27+'Cash Flow Statement &amp; Forecast'!M73</f>
        <v>-3702.5393092221434</v>
      </c>
    </row>
    <row r="28" spans="2:13" ht="15.75" customHeight="1" x14ac:dyDescent="0.25">
      <c r="B28" s="19" t="s">
        <v>28</v>
      </c>
      <c r="C28" s="2">
        <v>264.36</v>
      </c>
      <c r="D28" s="2">
        <v>242.61</v>
      </c>
      <c r="E28" s="2">
        <v>320.72000000000003</v>
      </c>
      <c r="F28" s="2">
        <v>254.67</v>
      </c>
      <c r="G28" s="2">
        <v>336.7</v>
      </c>
      <c r="I28" s="21">
        <f>G28</f>
        <v>336.7</v>
      </c>
      <c r="J28" s="21">
        <f t="shared" ref="J28:M32" si="5">I28</f>
        <v>336.7</v>
      </c>
      <c r="K28" s="21">
        <f t="shared" si="5"/>
        <v>336.7</v>
      </c>
      <c r="L28" s="21">
        <f t="shared" si="5"/>
        <v>336.7</v>
      </c>
      <c r="M28" s="21">
        <f t="shared" si="5"/>
        <v>336.7</v>
      </c>
    </row>
    <row r="29" spans="2:13" ht="15.75" customHeight="1" x14ac:dyDescent="0.25">
      <c r="B29" s="19" t="s">
        <v>19</v>
      </c>
      <c r="C29" s="2">
        <v>17.59</v>
      </c>
      <c r="I29" s="21">
        <f>G29</f>
        <v>0</v>
      </c>
      <c r="J29" s="21">
        <f t="shared" si="5"/>
        <v>0</v>
      </c>
      <c r="K29" s="21">
        <f t="shared" si="5"/>
        <v>0</v>
      </c>
      <c r="L29" s="21">
        <f t="shared" si="5"/>
        <v>0</v>
      </c>
      <c r="M29" s="21">
        <f t="shared" si="5"/>
        <v>0</v>
      </c>
    </row>
    <row r="30" spans="2:13" ht="15.75" customHeight="1" x14ac:dyDescent="0.25">
      <c r="B30" s="19" t="s">
        <v>20</v>
      </c>
      <c r="C30" s="2">
        <v>1179.6500000000001</v>
      </c>
      <c r="D30" s="2">
        <v>1533.5</v>
      </c>
      <c r="E30" s="2">
        <v>1592.78</v>
      </c>
      <c r="F30" s="2">
        <v>1651.35</v>
      </c>
      <c r="G30" s="2">
        <v>1158.1099999999999</v>
      </c>
      <c r="I30" s="21">
        <f>G30</f>
        <v>1158.1099999999999</v>
      </c>
      <c r="J30" s="21">
        <f t="shared" si="5"/>
        <v>1158.1099999999999</v>
      </c>
      <c r="K30" s="21">
        <f t="shared" si="5"/>
        <v>1158.1099999999999</v>
      </c>
      <c r="L30" s="21">
        <f t="shared" si="5"/>
        <v>1158.1099999999999</v>
      </c>
      <c r="M30" s="21">
        <f t="shared" si="5"/>
        <v>1158.1099999999999</v>
      </c>
    </row>
    <row r="31" spans="2:13" ht="15.75" customHeight="1" x14ac:dyDescent="0.25">
      <c r="B31" s="5" t="s">
        <v>29</v>
      </c>
      <c r="C31" s="5">
        <v>537.23</v>
      </c>
      <c r="D31" s="5">
        <v>541.25</v>
      </c>
      <c r="E31" s="5">
        <v>553.98</v>
      </c>
      <c r="F31" s="5">
        <v>785.83</v>
      </c>
      <c r="G31" s="5">
        <v>773.71</v>
      </c>
      <c r="I31" s="21">
        <f>G31</f>
        <v>773.71</v>
      </c>
      <c r="J31" s="21">
        <f t="shared" si="5"/>
        <v>773.71</v>
      </c>
      <c r="K31" s="21">
        <f t="shared" si="5"/>
        <v>773.71</v>
      </c>
      <c r="L31" s="21">
        <f t="shared" si="5"/>
        <v>773.71</v>
      </c>
      <c r="M31" s="21">
        <f t="shared" si="5"/>
        <v>773.71</v>
      </c>
    </row>
    <row r="32" spans="2:13" ht="15.75" customHeight="1" x14ac:dyDescent="0.25">
      <c r="B32" s="5" t="s">
        <v>30</v>
      </c>
      <c r="C32" s="5">
        <v>13.49</v>
      </c>
      <c r="D32" s="5">
        <v>8.1300000000000008</v>
      </c>
      <c r="E32" s="5">
        <v>0</v>
      </c>
      <c r="F32" s="5"/>
      <c r="G32" s="5"/>
      <c r="I32" s="21">
        <f>G32</f>
        <v>0</v>
      </c>
      <c r="J32" s="21">
        <f t="shared" si="5"/>
        <v>0</v>
      </c>
      <c r="K32" s="21">
        <f t="shared" si="5"/>
        <v>0</v>
      </c>
      <c r="L32" s="21">
        <f t="shared" si="5"/>
        <v>0</v>
      </c>
      <c r="M32" s="21">
        <f t="shared" si="5"/>
        <v>0</v>
      </c>
    </row>
    <row r="33" spans="2:13" ht="15.75" customHeight="1" x14ac:dyDescent="0.25">
      <c r="B33" s="2" t="s">
        <v>31</v>
      </c>
      <c r="C33" s="2">
        <v>12026.6</v>
      </c>
      <c r="D33" s="2">
        <v>15152.33</v>
      </c>
      <c r="E33" s="2">
        <v>16535.16</v>
      </c>
      <c r="F33" s="2">
        <v>17537.060000000001</v>
      </c>
      <c r="G33" s="2">
        <v>16991.68</v>
      </c>
      <c r="I33" s="23">
        <f t="shared" ref="I33:M33" si="6">SUM(I23:I32)</f>
        <v>16952.984866785882</v>
      </c>
      <c r="J33" s="23">
        <f t="shared" si="6"/>
        <v>16970.856533679151</v>
      </c>
      <c r="K33" s="23">
        <f t="shared" si="6"/>
        <v>17412.538393673181</v>
      </c>
      <c r="L33" s="23">
        <f t="shared" si="6"/>
        <v>17892.024641383661</v>
      </c>
      <c r="M33" s="23">
        <f t="shared" si="6"/>
        <v>18370.221400135932</v>
      </c>
    </row>
    <row r="34" spans="2:13" ht="15.75" customHeight="1" thickBot="1" x14ac:dyDescent="0.3">
      <c r="B34" s="9" t="s">
        <v>32</v>
      </c>
      <c r="C34" s="9">
        <v>20369.62</v>
      </c>
      <c r="D34" s="9">
        <v>22984.45</v>
      </c>
      <c r="E34" s="9">
        <v>25798</v>
      </c>
      <c r="F34" s="9">
        <v>29924.09</v>
      </c>
      <c r="G34" s="9">
        <v>30371.37</v>
      </c>
      <c r="I34" s="24">
        <f t="shared" ref="I34:M34" si="7">I21+I33</f>
        <v>31887.77017078588</v>
      </c>
      <c r="J34" s="24">
        <f t="shared" si="7"/>
        <v>33580.712400999153</v>
      </c>
      <c r="K34" s="24">
        <f t="shared" si="7"/>
        <v>35407.612825347984</v>
      </c>
      <c r="L34" s="24">
        <f t="shared" si="7"/>
        <v>37378.248440149138</v>
      </c>
      <c r="M34" s="24">
        <f t="shared" si="7"/>
        <v>39434.591101607635</v>
      </c>
    </row>
    <row r="35" spans="2:13" ht="15.75" customHeight="1" thickTop="1" x14ac:dyDescent="0.25">
      <c r="B35" s="13" t="s">
        <v>33</v>
      </c>
      <c r="C35" s="13"/>
      <c r="D35" s="13"/>
      <c r="E35" s="13"/>
      <c r="F35" s="13"/>
      <c r="G35" s="13"/>
      <c r="I35" s="25"/>
      <c r="J35" s="25"/>
      <c r="K35" s="25"/>
      <c r="L35" s="25"/>
      <c r="M35" s="25"/>
    </row>
    <row r="36" spans="2:13" ht="15.75" customHeight="1" x14ac:dyDescent="0.25">
      <c r="B36" s="12" t="s">
        <v>34</v>
      </c>
      <c r="C36" s="12"/>
      <c r="D36" s="12"/>
      <c r="E36" s="12"/>
      <c r="F36" s="12"/>
      <c r="G36" s="12"/>
      <c r="I36" s="23"/>
      <c r="J36" s="23"/>
      <c r="K36" s="23"/>
      <c r="L36" s="23"/>
      <c r="M36" s="23"/>
    </row>
    <row r="37" spans="2:13" ht="15.75" customHeight="1" x14ac:dyDescent="0.25">
      <c r="B37" s="5" t="s">
        <v>35</v>
      </c>
      <c r="C37" s="5">
        <v>95.92</v>
      </c>
      <c r="D37" s="5">
        <v>95.92</v>
      </c>
      <c r="E37" s="5">
        <v>95.92</v>
      </c>
      <c r="F37" s="5">
        <v>95.92</v>
      </c>
      <c r="G37" s="5">
        <v>95.92</v>
      </c>
      <c r="I37" s="21">
        <f>G37</f>
        <v>95.92</v>
      </c>
      <c r="J37" s="21">
        <f t="shared" ref="J37:M37" si="8">I37</f>
        <v>95.92</v>
      </c>
      <c r="K37" s="21">
        <f t="shared" si="8"/>
        <v>95.92</v>
      </c>
      <c r="L37" s="21">
        <f t="shared" si="8"/>
        <v>95.92</v>
      </c>
      <c r="M37" s="21">
        <f t="shared" si="8"/>
        <v>95.92</v>
      </c>
    </row>
    <row r="38" spans="2:13" ht="15.75" customHeight="1" x14ac:dyDescent="0.25">
      <c r="B38" s="5" t="s">
        <v>36</v>
      </c>
      <c r="C38" s="5">
        <v>12710.37</v>
      </c>
      <c r="D38" s="5">
        <v>13715.64</v>
      </c>
      <c r="E38" s="5">
        <v>15896.31</v>
      </c>
      <c r="F38" s="5">
        <v>18632.38</v>
      </c>
      <c r="G38" s="5">
        <v>19303.89</v>
      </c>
      <c r="I38" s="21">
        <f>G38+'Income Statement &amp; Forecast'!I35-(Assumptions!I25*'Income Statement &amp; Forecast'!I35)</f>
        <v>20553.680404262224</v>
      </c>
      <c r="J38" s="21">
        <f>I38+'Income Statement &amp; Forecast'!J35-(Assumptions!J25*'Income Statement &amp; Forecast'!J35)</f>
        <v>21902.920265663273</v>
      </c>
      <c r="K38" s="21">
        <f>J38+'Income Statement &amp; Forecast'!K35-(Assumptions!K25*'Income Statement &amp; Forecast'!K35)</f>
        <v>23358.639119314143</v>
      </c>
      <c r="L38" s="21">
        <f>K38+'Income Statement &amp; Forecast'!L35-(Assumptions!L25*'Income Statement &amp; Forecast'!L35)</f>
        <v>24928.426431461707</v>
      </c>
      <c r="M38" s="21">
        <f>L38+'Income Statement &amp; Forecast'!M35-(Assumptions!M25*'Income Statement &amp; Forecast'!M35)</f>
        <v>26603.735388849625</v>
      </c>
    </row>
    <row r="39" spans="2:13" ht="15.75" customHeight="1" x14ac:dyDescent="0.25">
      <c r="B39" s="2" t="s">
        <v>37</v>
      </c>
      <c r="C39" s="2">
        <v>12806.29</v>
      </c>
      <c r="D39" s="2">
        <v>13811.56</v>
      </c>
      <c r="E39" s="2">
        <v>15992.23</v>
      </c>
      <c r="F39" s="2">
        <v>18728.3</v>
      </c>
      <c r="G39" s="2">
        <v>19399.810000000001</v>
      </c>
      <c r="I39" s="23">
        <f t="shared" ref="I39:M39" si="9">I37+I38</f>
        <v>20649.600404262223</v>
      </c>
      <c r="J39" s="23">
        <f t="shared" si="9"/>
        <v>21998.840265663272</v>
      </c>
      <c r="K39" s="23">
        <f t="shared" si="9"/>
        <v>23454.559119314141</v>
      </c>
      <c r="L39" s="23">
        <f t="shared" si="9"/>
        <v>25024.346431461705</v>
      </c>
      <c r="M39" s="23">
        <f t="shared" si="9"/>
        <v>26699.655388849624</v>
      </c>
    </row>
    <row r="40" spans="2:13" ht="15.75" customHeight="1" x14ac:dyDescent="0.25">
      <c r="B40" s="5" t="s">
        <v>38</v>
      </c>
      <c r="C40" s="5">
        <v>422.86</v>
      </c>
      <c r="D40" s="5">
        <v>387.53</v>
      </c>
      <c r="E40" s="5">
        <v>453.66</v>
      </c>
      <c r="F40" s="5">
        <v>695.38</v>
      </c>
      <c r="G40" s="5">
        <v>659.24</v>
      </c>
      <c r="I40" s="21">
        <f>G40+'Income Statement &amp; Forecast'!I36-(Assumptions!I25*'Income Statement &amp; Forecast'!I36)</f>
        <v>673.7797973181747</v>
      </c>
      <c r="J40" s="21">
        <f>I40+'Income Statement &amp; Forecast'!J36-(Assumptions!J25*'Income Statement &amp; Forecast'!J36)</f>
        <v>689.47656859395818</v>
      </c>
      <c r="K40" s="21">
        <f>J40+'Income Statement &amp; Forecast'!K36-(Assumptions!K25*'Income Statement &amp; Forecast'!K36)</f>
        <v>706.41209395256715</v>
      </c>
      <c r="L40" s="21">
        <f>K40+'Income Statement &amp; Forecast'!L36-(Assumptions!L25*'Income Statement &amp; Forecast'!L36)</f>
        <v>724.67466763966581</v>
      </c>
      <c r="M40" s="21">
        <f>L40+'Income Statement &amp; Forecast'!M36-(Assumptions!M25*'Income Statement &amp; Forecast'!M36)</f>
        <v>744.16485783689495</v>
      </c>
    </row>
    <row r="41" spans="2:13" ht="15.75" customHeight="1" x14ac:dyDescent="0.25">
      <c r="B41" s="2" t="s">
        <v>39</v>
      </c>
      <c r="C41" s="2">
        <v>13229.15</v>
      </c>
      <c r="D41" s="2">
        <v>14199.09</v>
      </c>
      <c r="E41" s="2">
        <v>16445.89</v>
      </c>
      <c r="F41" s="2">
        <v>19423.68</v>
      </c>
      <c r="G41" s="2">
        <v>20059.05</v>
      </c>
      <c r="I41" s="24">
        <f t="shared" ref="I41:M41" si="10">I39+I40</f>
        <v>21323.380201580396</v>
      </c>
      <c r="J41" s="24">
        <f t="shared" si="10"/>
        <v>22688.316834257228</v>
      </c>
      <c r="K41" s="24">
        <f t="shared" si="10"/>
        <v>24160.971213266708</v>
      </c>
      <c r="L41" s="24">
        <f t="shared" si="10"/>
        <v>25749.02109910137</v>
      </c>
      <c r="M41" s="24">
        <f t="shared" si="10"/>
        <v>27443.820246686519</v>
      </c>
    </row>
    <row r="42" spans="2:13" ht="15.75" customHeight="1" x14ac:dyDescent="0.25">
      <c r="B42" s="12" t="s">
        <v>40</v>
      </c>
      <c r="C42" s="12"/>
      <c r="D42" s="12"/>
      <c r="E42" s="12"/>
      <c r="F42" s="12"/>
      <c r="G42" s="12"/>
      <c r="I42" s="31"/>
      <c r="J42" s="31"/>
      <c r="K42" s="31"/>
      <c r="L42" s="31"/>
      <c r="M42" s="31"/>
    </row>
    <row r="43" spans="2:13" ht="15.75" customHeight="1" x14ac:dyDescent="0.25">
      <c r="B43" s="7" t="s">
        <v>41</v>
      </c>
      <c r="I43" s="23"/>
      <c r="J43" s="23"/>
      <c r="K43" s="23"/>
      <c r="L43" s="23"/>
      <c r="M43" s="23"/>
    </row>
    <row r="44" spans="2:13" ht="15.75" customHeight="1" x14ac:dyDescent="0.25">
      <c r="B44" s="19" t="s">
        <v>42</v>
      </c>
      <c r="C44" s="2">
        <v>14.53</v>
      </c>
      <c r="D44" s="2">
        <v>44.54</v>
      </c>
      <c r="E44" s="2">
        <v>76.150000000000006</v>
      </c>
      <c r="F44" s="2">
        <v>54.38</v>
      </c>
      <c r="G44" s="2">
        <v>259.62</v>
      </c>
      <c r="I44" s="21">
        <f t="shared" ref="I44:I49" si="11">G44</f>
        <v>259.62</v>
      </c>
      <c r="J44" s="21">
        <f t="shared" ref="J44:M49" si="12">I44</f>
        <v>259.62</v>
      </c>
      <c r="K44" s="21">
        <f t="shared" si="12"/>
        <v>259.62</v>
      </c>
      <c r="L44" s="21">
        <f t="shared" si="12"/>
        <v>259.62</v>
      </c>
      <c r="M44" s="21">
        <f t="shared" si="12"/>
        <v>259.62</v>
      </c>
    </row>
    <row r="45" spans="2:13" ht="15.75" customHeight="1" x14ac:dyDescent="0.25">
      <c r="B45" s="19" t="s">
        <v>43</v>
      </c>
      <c r="C45" s="2">
        <v>561.36</v>
      </c>
      <c r="D45" s="2">
        <v>598.37</v>
      </c>
      <c r="E45" s="2">
        <v>728.94</v>
      </c>
      <c r="F45" s="2">
        <v>1095.29</v>
      </c>
      <c r="G45" s="2">
        <v>1123.3</v>
      </c>
      <c r="I45" s="21">
        <f t="shared" si="11"/>
        <v>1123.3</v>
      </c>
      <c r="J45" s="21">
        <f t="shared" si="12"/>
        <v>1123.3</v>
      </c>
      <c r="K45" s="21">
        <f t="shared" si="12"/>
        <v>1123.3</v>
      </c>
      <c r="L45" s="21">
        <f t="shared" si="12"/>
        <v>1123.3</v>
      </c>
      <c r="M45" s="21">
        <f t="shared" si="12"/>
        <v>1123.3</v>
      </c>
    </row>
    <row r="46" spans="2:13" ht="15.75" customHeight="1" x14ac:dyDescent="0.25">
      <c r="B46" s="19" t="s">
        <v>44</v>
      </c>
      <c r="C46" s="2">
        <v>3.38</v>
      </c>
      <c r="D46" s="2">
        <v>2.1800000000000002</v>
      </c>
      <c r="E46" s="2">
        <v>46.38</v>
      </c>
      <c r="F46" s="2">
        <v>240.58</v>
      </c>
      <c r="G46" s="2">
        <v>79.930000000000007</v>
      </c>
      <c r="I46" s="21">
        <f t="shared" si="11"/>
        <v>79.930000000000007</v>
      </c>
      <c r="J46" s="21">
        <f t="shared" si="12"/>
        <v>79.930000000000007</v>
      </c>
      <c r="K46" s="21">
        <f t="shared" si="12"/>
        <v>79.930000000000007</v>
      </c>
      <c r="L46" s="21">
        <f t="shared" si="12"/>
        <v>79.930000000000007</v>
      </c>
      <c r="M46" s="21">
        <f t="shared" si="12"/>
        <v>79.930000000000007</v>
      </c>
    </row>
    <row r="47" spans="2:13" ht="15.75" customHeight="1" x14ac:dyDescent="0.25">
      <c r="B47" s="5" t="s">
        <v>45</v>
      </c>
      <c r="C47" s="5">
        <v>215.21</v>
      </c>
      <c r="D47" s="5">
        <v>218.32</v>
      </c>
      <c r="E47" s="5">
        <v>230.7</v>
      </c>
      <c r="F47" s="5">
        <v>222.56</v>
      </c>
      <c r="G47" s="5">
        <v>257.77999999999997</v>
      </c>
      <c r="I47" s="21">
        <f t="shared" si="11"/>
        <v>257.77999999999997</v>
      </c>
      <c r="J47" s="21">
        <f t="shared" si="12"/>
        <v>257.77999999999997</v>
      </c>
      <c r="K47" s="21">
        <f t="shared" si="12"/>
        <v>257.77999999999997</v>
      </c>
      <c r="L47" s="21">
        <f t="shared" si="12"/>
        <v>257.77999999999997</v>
      </c>
      <c r="M47" s="21">
        <f t="shared" si="12"/>
        <v>257.77999999999997</v>
      </c>
    </row>
    <row r="48" spans="2:13" ht="15.75" customHeight="1" x14ac:dyDescent="0.25">
      <c r="B48" s="5" t="s">
        <v>46</v>
      </c>
      <c r="C48" s="5">
        <v>415.59</v>
      </c>
      <c r="D48" s="5">
        <v>348.85</v>
      </c>
      <c r="E48" s="5">
        <v>334.84</v>
      </c>
      <c r="F48" s="5">
        <v>352.17</v>
      </c>
      <c r="G48" s="5">
        <v>404.91</v>
      </c>
      <c r="I48" s="21">
        <f t="shared" si="11"/>
        <v>404.91</v>
      </c>
      <c r="J48" s="21">
        <f t="shared" si="12"/>
        <v>404.91</v>
      </c>
      <c r="K48" s="21">
        <f t="shared" si="12"/>
        <v>404.91</v>
      </c>
      <c r="L48" s="21">
        <f t="shared" si="12"/>
        <v>404.91</v>
      </c>
      <c r="M48" s="21">
        <f t="shared" si="12"/>
        <v>404.91</v>
      </c>
    </row>
    <row r="49" spans="2:13" ht="15.75" customHeight="1" x14ac:dyDescent="0.25">
      <c r="B49" s="5" t="s">
        <v>47</v>
      </c>
      <c r="C49" s="5">
        <v>4.54</v>
      </c>
      <c r="D49" s="5">
        <v>2.11</v>
      </c>
      <c r="E49" s="5">
        <v>39.17</v>
      </c>
      <c r="F49" s="5">
        <v>34.47</v>
      </c>
      <c r="G49" s="5">
        <v>45.55</v>
      </c>
      <c r="I49" s="21">
        <f t="shared" si="11"/>
        <v>45.55</v>
      </c>
      <c r="J49" s="21">
        <f t="shared" si="12"/>
        <v>45.55</v>
      </c>
      <c r="K49" s="21">
        <f t="shared" si="12"/>
        <v>45.55</v>
      </c>
      <c r="L49" s="21">
        <f t="shared" si="12"/>
        <v>45.55</v>
      </c>
      <c r="M49" s="21">
        <f t="shared" si="12"/>
        <v>45.55</v>
      </c>
    </row>
    <row r="50" spans="2:13" ht="15.75" customHeight="1" x14ac:dyDescent="0.25">
      <c r="B50" s="2" t="s">
        <v>48</v>
      </c>
      <c r="C50" s="2">
        <v>1214.6099999999999</v>
      </c>
      <c r="D50" s="2">
        <v>1214.3699999999999</v>
      </c>
      <c r="E50" s="2">
        <v>1456.18</v>
      </c>
      <c r="F50" s="2">
        <v>1999.45</v>
      </c>
      <c r="G50" s="2">
        <v>2171.09</v>
      </c>
      <c r="I50" s="24">
        <f t="shared" ref="I50:M50" si="13">SUM(I44:I49)</f>
        <v>2171.09</v>
      </c>
      <c r="J50" s="24">
        <f t="shared" si="13"/>
        <v>2171.09</v>
      </c>
      <c r="K50" s="24">
        <f t="shared" si="13"/>
        <v>2171.09</v>
      </c>
      <c r="L50" s="24">
        <f t="shared" si="13"/>
        <v>2171.09</v>
      </c>
      <c r="M50" s="24">
        <f t="shared" si="13"/>
        <v>2171.09</v>
      </c>
    </row>
    <row r="51" spans="2:13" ht="15.75" customHeight="1" x14ac:dyDescent="0.25">
      <c r="B51" s="12" t="s">
        <v>49</v>
      </c>
      <c r="C51" s="12"/>
      <c r="D51" s="12"/>
      <c r="E51" s="12"/>
      <c r="F51" s="12"/>
      <c r="G51" s="12"/>
      <c r="I51" s="31"/>
      <c r="J51" s="31"/>
      <c r="K51" s="31"/>
      <c r="L51" s="31"/>
      <c r="M51" s="31"/>
    </row>
    <row r="52" spans="2:13" ht="15.75" customHeight="1" x14ac:dyDescent="0.25">
      <c r="B52" s="7" t="s">
        <v>41</v>
      </c>
      <c r="I52" s="23"/>
      <c r="J52" s="23"/>
      <c r="K52" s="23"/>
      <c r="L52" s="23"/>
      <c r="M52" s="23"/>
    </row>
    <row r="53" spans="2:13" ht="15.75" customHeight="1" x14ac:dyDescent="0.25">
      <c r="B53" s="19" t="s">
        <v>42</v>
      </c>
      <c r="C53" s="2">
        <v>325.7</v>
      </c>
      <c r="D53" s="2">
        <v>731.12</v>
      </c>
      <c r="E53" s="2">
        <v>896.06</v>
      </c>
      <c r="F53" s="2">
        <v>1052.76</v>
      </c>
      <c r="G53" s="2">
        <v>604.13</v>
      </c>
      <c r="I53" s="21">
        <f>G53</f>
        <v>604.13</v>
      </c>
      <c r="J53" s="21">
        <f t="shared" ref="J53:M54" si="14">I53</f>
        <v>604.13</v>
      </c>
      <c r="K53" s="21">
        <f t="shared" si="14"/>
        <v>604.13</v>
      </c>
      <c r="L53" s="21">
        <f t="shared" si="14"/>
        <v>604.13</v>
      </c>
      <c r="M53" s="21">
        <f t="shared" si="14"/>
        <v>604.13</v>
      </c>
    </row>
    <row r="54" spans="2:13" ht="15.75" customHeight="1" x14ac:dyDescent="0.25">
      <c r="B54" s="19" t="s">
        <v>43</v>
      </c>
      <c r="C54" s="2">
        <v>183.18</v>
      </c>
      <c r="D54" s="2">
        <v>212.85</v>
      </c>
      <c r="E54" s="2">
        <v>231.47</v>
      </c>
      <c r="F54" s="2">
        <v>271.95</v>
      </c>
      <c r="G54" s="2">
        <v>303.24</v>
      </c>
      <c r="I54" s="21">
        <f>G54</f>
        <v>303.24</v>
      </c>
      <c r="J54" s="21">
        <f t="shared" si="14"/>
        <v>303.24</v>
      </c>
      <c r="K54" s="21">
        <f t="shared" si="14"/>
        <v>303.24</v>
      </c>
      <c r="L54" s="21">
        <f t="shared" si="14"/>
        <v>303.24</v>
      </c>
      <c r="M54" s="21">
        <f t="shared" si="14"/>
        <v>303.24</v>
      </c>
    </row>
    <row r="55" spans="2:13" ht="15.75" customHeight="1" x14ac:dyDescent="0.25">
      <c r="B55" s="7" t="s">
        <v>50</v>
      </c>
      <c r="I55" s="23"/>
      <c r="J55" s="23"/>
      <c r="K55" s="23"/>
      <c r="L55" s="23"/>
      <c r="M55" s="23"/>
    </row>
    <row r="56" spans="2:13" ht="15.75" customHeight="1" x14ac:dyDescent="0.25">
      <c r="B56" s="19" t="s">
        <v>51</v>
      </c>
      <c r="C56" s="2">
        <v>91.53</v>
      </c>
      <c r="D56" s="2">
        <v>83.58</v>
      </c>
      <c r="E56" s="2">
        <v>143.88</v>
      </c>
      <c r="F56" s="2">
        <v>250.27</v>
      </c>
      <c r="G56" s="2">
        <v>208.58</v>
      </c>
      <c r="I56" s="21">
        <f>Assumptions!I20*(Assumptions!I11*(Assumptions!I6+'Income Statement &amp; Forecast'!I7+'Income Statement &amp; Forecast'!I8))/365*(G56/(G56+G57))</f>
        <v>222.24339765511408</v>
      </c>
      <c r="J56" s="21">
        <f>Assumptions!J20*(Assumptions!J11*(Assumptions!J6+'Income Statement &amp; Forecast'!J7+'Income Statement &amp; Forecast'!J8))/365*(I56/(I56+I57))</f>
        <v>240.02286946752324</v>
      </c>
      <c r="K56" s="21">
        <f>Assumptions!K20*(Assumptions!K11*(Assumptions!K6+'Income Statement &amp; Forecast'!K7+'Income Statement &amp; Forecast'!K8))/365*(J56/(J56+J57))</f>
        <v>259.22469902492509</v>
      </c>
      <c r="L56" s="21">
        <f>Assumptions!L20*(Assumptions!L11*(Assumptions!L6+'Income Statement &amp; Forecast'!L7+'Income Statement &amp; Forecast'!L8))/365*(K56/(K56+K57))</f>
        <v>279.96267494691909</v>
      </c>
      <c r="M56" s="21">
        <f>Assumptions!M20*(Assumptions!M11*(Assumptions!M6+'Income Statement &amp; Forecast'!M7+'Income Statement &amp; Forecast'!M8))/365*(L56/(L56+L57))</f>
        <v>299.56006219320358</v>
      </c>
    </row>
    <row r="57" spans="2:13" ht="15.75" customHeight="1" x14ac:dyDescent="0.25">
      <c r="B57" s="19" t="s">
        <v>52</v>
      </c>
      <c r="C57" s="2">
        <v>3287.19</v>
      </c>
      <c r="D57" s="2">
        <v>4080.72</v>
      </c>
      <c r="E57" s="2">
        <v>3491.56</v>
      </c>
      <c r="F57" s="2">
        <v>3581.07</v>
      </c>
      <c r="G57" s="2">
        <v>3639.42</v>
      </c>
      <c r="I57" s="21">
        <f>Assumptions!I20*(Assumptions!I11*(Assumptions!I6+'Income Statement &amp; Forecast'!I7+'Income Statement &amp; Forecast'!I8))/365*(G57/(G56+G57))</f>
        <v>3877.8265715503653</v>
      </c>
      <c r="J57" s="21">
        <f>Assumptions!J20*(Assumptions!J11*(Assumptions!J6+'Income Statement &amp; Forecast'!J7+'Income Statement &amp; Forecast'!J8))/365*(I57/(I56+I57))</f>
        <v>4188.0526972743955</v>
      </c>
      <c r="K57" s="21">
        <f>Assumptions!K20*(Assumptions!K11*(Assumptions!K6+'Income Statement &amp; Forecast'!K7+'Income Statement &amp; Forecast'!K8))/365*(J57/(J56+J57))</f>
        <v>4523.0969130563471</v>
      </c>
      <c r="L57" s="21">
        <f>Assumptions!L20*(Assumptions!L11*(Assumptions!L6+'Income Statement &amp; Forecast'!L7+'Income Statement &amp; Forecast'!L8))/365*(K57/(K56+K57))</f>
        <v>4884.9446661008551</v>
      </c>
      <c r="M57" s="21">
        <f>Assumptions!M20*(Assumptions!M11*(Assumptions!M6+'Income Statement &amp; Forecast'!M7+'Income Statement &amp; Forecast'!M8))/365*(L57/(L56+L57))</f>
        <v>5226.890792727917</v>
      </c>
    </row>
    <row r="58" spans="2:13" ht="15.75" customHeight="1" x14ac:dyDescent="0.25">
      <c r="B58" s="19" t="s">
        <v>44</v>
      </c>
      <c r="C58" s="2">
        <v>1603.02</v>
      </c>
      <c r="D58" s="2">
        <v>1886.81</v>
      </c>
      <c r="E58" s="2">
        <v>2436.02</v>
      </c>
      <c r="F58" s="2">
        <v>2675.44</v>
      </c>
      <c r="G58" s="2">
        <v>2742.04</v>
      </c>
      <c r="I58" s="21">
        <f>G58</f>
        <v>2742.04</v>
      </c>
      <c r="J58" s="21">
        <f t="shared" ref="J58:M61" si="15">I58</f>
        <v>2742.04</v>
      </c>
      <c r="K58" s="21">
        <f t="shared" si="15"/>
        <v>2742.04</v>
      </c>
      <c r="L58" s="21">
        <f t="shared" si="15"/>
        <v>2742.04</v>
      </c>
      <c r="M58" s="21">
        <f t="shared" si="15"/>
        <v>2742.04</v>
      </c>
    </row>
    <row r="59" spans="2:13" ht="15.75" customHeight="1" x14ac:dyDescent="0.25">
      <c r="B59" s="5" t="s">
        <v>53</v>
      </c>
      <c r="C59" s="5">
        <v>229.58</v>
      </c>
      <c r="D59" s="5">
        <v>376.09</v>
      </c>
      <c r="E59" s="5">
        <v>459.04</v>
      </c>
      <c r="F59" s="5">
        <v>484.48</v>
      </c>
      <c r="G59" s="5">
        <v>450.58</v>
      </c>
      <c r="I59" s="21">
        <f>G59</f>
        <v>450.58</v>
      </c>
      <c r="J59" s="21">
        <f t="shared" si="15"/>
        <v>450.58</v>
      </c>
      <c r="K59" s="21">
        <f t="shared" si="15"/>
        <v>450.58</v>
      </c>
      <c r="L59" s="21">
        <f t="shared" si="15"/>
        <v>450.58</v>
      </c>
      <c r="M59" s="21">
        <f t="shared" si="15"/>
        <v>450.58</v>
      </c>
    </row>
    <row r="60" spans="2:13" ht="15.75" customHeight="1" x14ac:dyDescent="0.25">
      <c r="B60" s="5" t="s">
        <v>45</v>
      </c>
      <c r="C60" s="5">
        <v>84.43</v>
      </c>
      <c r="D60" s="5">
        <v>69.7</v>
      </c>
      <c r="E60" s="5">
        <v>74.209999999999994</v>
      </c>
      <c r="F60" s="5">
        <v>62.48</v>
      </c>
      <c r="G60" s="5">
        <v>67.150000000000006</v>
      </c>
      <c r="I60" s="21">
        <f>G60</f>
        <v>67.150000000000006</v>
      </c>
      <c r="J60" s="21">
        <f t="shared" si="15"/>
        <v>67.150000000000006</v>
      </c>
      <c r="K60" s="21">
        <f t="shared" si="15"/>
        <v>67.150000000000006</v>
      </c>
      <c r="L60" s="21">
        <f t="shared" si="15"/>
        <v>67.150000000000006</v>
      </c>
      <c r="M60" s="21">
        <f t="shared" si="15"/>
        <v>67.150000000000006</v>
      </c>
    </row>
    <row r="61" spans="2:13" ht="15.75" customHeight="1" x14ac:dyDescent="0.25">
      <c r="B61" s="5" t="s">
        <v>54</v>
      </c>
      <c r="C61" s="5">
        <v>121.23</v>
      </c>
      <c r="D61" s="5">
        <v>130.12</v>
      </c>
      <c r="E61" s="5">
        <v>163.69</v>
      </c>
      <c r="F61" s="5">
        <v>122.51</v>
      </c>
      <c r="G61" s="5">
        <v>126.09</v>
      </c>
      <c r="I61" s="21">
        <f>G61</f>
        <v>126.09</v>
      </c>
      <c r="J61" s="21">
        <f t="shared" si="15"/>
        <v>126.09</v>
      </c>
      <c r="K61" s="21">
        <f t="shared" si="15"/>
        <v>126.09</v>
      </c>
      <c r="L61" s="21">
        <f t="shared" si="15"/>
        <v>126.09</v>
      </c>
      <c r="M61" s="21">
        <f t="shared" si="15"/>
        <v>126.09</v>
      </c>
    </row>
    <row r="62" spans="2:13" ht="15.75" customHeight="1" x14ac:dyDescent="0.25">
      <c r="B62" s="2" t="s">
        <v>55</v>
      </c>
      <c r="C62" s="2">
        <v>5925.86</v>
      </c>
      <c r="D62" s="2">
        <v>7570.99</v>
      </c>
      <c r="E62" s="2">
        <v>7895.93</v>
      </c>
      <c r="F62" s="2">
        <v>8500.9599999999991</v>
      </c>
      <c r="G62" s="2">
        <v>8141.23</v>
      </c>
      <c r="I62" s="23">
        <f t="shared" ref="I62:M62" si="16">SUM(I53:I54)+SUM(I56:I61)</f>
        <v>8393.29996920548</v>
      </c>
      <c r="J62" s="23">
        <f t="shared" si="16"/>
        <v>8721.3055667419194</v>
      </c>
      <c r="K62" s="23">
        <f t="shared" si="16"/>
        <v>9075.5516120812717</v>
      </c>
      <c r="L62" s="23">
        <f t="shared" si="16"/>
        <v>9458.1373410477754</v>
      </c>
      <c r="M62" s="23">
        <f t="shared" si="16"/>
        <v>9819.6808549211219</v>
      </c>
    </row>
    <row r="63" spans="2:13" ht="15.75" customHeight="1" thickBot="1" x14ac:dyDescent="0.3">
      <c r="B63" s="9" t="s">
        <v>56</v>
      </c>
      <c r="C63" s="9">
        <v>20369.62</v>
      </c>
      <c r="D63" s="9">
        <v>22984.45</v>
      </c>
      <c r="E63" s="9">
        <v>25798</v>
      </c>
      <c r="F63" s="9">
        <v>29924.09</v>
      </c>
      <c r="G63" s="9">
        <v>30371.37</v>
      </c>
      <c r="I63" s="24">
        <f t="shared" ref="I63:M63" si="17">I41+I50+I62</f>
        <v>31887.770170785876</v>
      </c>
      <c r="J63" s="24">
        <f t="shared" si="17"/>
        <v>33580.712400999146</v>
      </c>
      <c r="K63" s="24">
        <f t="shared" si="17"/>
        <v>35407.612825347984</v>
      </c>
      <c r="L63" s="24">
        <f t="shared" si="17"/>
        <v>37378.248440149146</v>
      </c>
      <c r="M63" s="24">
        <f t="shared" si="17"/>
        <v>39434.591101607642</v>
      </c>
    </row>
    <row r="64" spans="2:13" ht="15.75" customHeight="1" thickTop="1" thickBot="1" x14ac:dyDescent="0.3"/>
    <row r="65" spans="1:13" ht="15.75" customHeight="1" x14ac:dyDescent="0.25">
      <c r="A65" s="15"/>
      <c r="B65" s="32" t="s">
        <v>202</v>
      </c>
      <c r="C65" s="33">
        <f t="shared" ref="C65:M65" si="18">ROUND(C34-C63,2)</f>
        <v>0</v>
      </c>
      <c r="D65" s="33">
        <f t="shared" si="18"/>
        <v>0</v>
      </c>
      <c r="E65" s="33">
        <f t="shared" si="18"/>
        <v>0</v>
      </c>
      <c r="F65" s="33">
        <f t="shared" si="18"/>
        <v>0</v>
      </c>
      <c r="G65" s="33">
        <f t="shared" si="18"/>
        <v>0</v>
      </c>
      <c r="I65" s="33">
        <f t="shared" si="18"/>
        <v>0</v>
      </c>
      <c r="J65" s="33">
        <f t="shared" si="18"/>
        <v>0</v>
      </c>
      <c r="K65" s="33">
        <f t="shared" si="18"/>
        <v>0</v>
      </c>
      <c r="L65" s="33">
        <f t="shared" si="18"/>
        <v>0</v>
      </c>
      <c r="M65" s="33">
        <f t="shared" si="18"/>
        <v>0</v>
      </c>
    </row>
  </sheetData>
  <mergeCells count="2">
    <mergeCell ref="I3:M3"/>
    <mergeCell ref="B1:M1"/>
  </mergeCells>
  <dataValidations count="23">
    <dataValidation allowBlank="1" showInputMessage="1" showErrorMessage="1" promptTitle="Notes Reference" prompt="Note 2A" sqref="B7" xr:uid="{95232AAF-EDF2-4B00-9089-DA44C537B30F}"/>
    <dataValidation allowBlank="1" showInputMessage="1" showErrorMessage="1" promptTitle="Notes Reference" prompt="Note 2B" sqref="B8" xr:uid="{1345DF0F-A325-4D97-96DB-C1C744F43538}"/>
    <dataValidation allowBlank="1" showInputMessage="1" showErrorMessage="1" promptTitle="Notes Reference" prompt="Note 3" sqref="B9" xr:uid="{942C33DA-FB94-4C85-A31C-78FFAED5ABE1}"/>
    <dataValidation allowBlank="1" showInputMessage="1" showErrorMessage="1" promptTitle="Notes Reference" prompt="Note 4A" sqref="B10" xr:uid="{9EFC49A9-D014-45F8-A801-96F32F6A006A}"/>
    <dataValidation allowBlank="1" showInputMessage="1" showErrorMessage="1" promptTitle="Notes Reference" prompt="Note 4B" sqref="B11" xr:uid="{442DF648-9EF2-489E-A185-4FE79BACAC83}"/>
    <dataValidation allowBlank="1" showInputMessage="1" showErrorMessage="1" promptTitle="Notes Reference" prompt="Note 5" sqref="B12 B14 B25" xr:uid="{03BAC0D9-0E29-466F-993A-FE5A487B491B}"/>
    <dataValidation allowBlank="1" showInputMessage="1" showErrorMessage="1" promptTitle="Notes Reference" prompt="Note 6" sqref="B15 B26" xr:uid="{A6BF05F6-28B2-4996-8967-6D01EBCAAB4D}"/>
    <dataValidation allowBlank="1" showInputMessage="1" showErrorMessage="1" promptTitle="Notes Reference" prompt="Note 7" sqref="B17 B30" xr:uid="{5D2FB668-E1F6-4C4E-BEF4-9BCAB2C65B5A}"/>
    <dataValidation allowBlank="1" showInputMessage="1" showErrorMessage="1" promptTitle="Notes Reference" prompt="Note 9C" sqref="B18 B48" xr:uid="{E0701534-AC06-4828-847F-56D10BF154C2}"/>
    <dataValidation allowBlank="1" showInputMessage="1" showErrorMessage="1" promptTitle="Notes Reference" prompt="Note 10" sqref="B19" xr:uid="{83E5C3BC-7153-4E16-98DD-447B5FD77D32}"/>
    <dataValidation allowBlank="1" showInputMessage="1" showErrorMessage="1" promptTitle="Notes Reference" prompt="Note 11" sqref="B20 B31" xr:uid="{160F5F64-186E-4AF3-BC57-37C1B891773B}"/>
    <dataValidation allowBlank="1" showInputMessage="1" showErrorMessage="1" promptTitle="Notes Reference" prompt="Note 12" sqref="B23 B32" xr:uid="{1B70268D-796B-4F66-91AA-9FF84C8412DB}"/>
    <dataValidation allowBlank="1" showInputMessage="1" showErrorMessage="1" promptTitle="Notes Reference" prompt="Note 8A" sqref="B27" xr:uid="{184065BC-E6B3-4A12-8386-E0B7CA145A16}"/>
    <dataValidation allowBlank="1" showInputMessage="1" showErrorMessage="1" promptTitle="Notes Reference" prompt="Note 8B" sqref="B28" xr:uid="{E218D219-AC67-48E1-8700-56F4C4D0023A}"/>
    <dataValidation allowBlank="1" showInputMessage="1" showErrorMessage="1" promptTitle="Notes Reference" prompt="Note 13" sqref="B37" xr:uid="{17D90871-004E-4AAA-8324-C366F131E255}"/>
    <dataValidation allowBlank="1" showInputMessage="1" showErrorMessage="1" promptTitle="Notes Reference" prompt="Note 14" sqref="B38 B40" xr:uid="{DD5D0CB7-FD42-4BFB-A625-8077F204AD13}"/>
    <dataValidation allowBlank="1" showInputMessage="1" showErrorMessage="1" promptTitle="Notes Reference" prompt="Note 15" sqref="B44 B53" xr:uid="{44C79632-DE88-4878-85A7-4D86692FD7D0}"/>
    <dataValidation allowBlank="1" showInputMessage="1" showErrorMessage="1" promptTitle="Notes Reference" prompt="Note 16" sqref="B45 B54" xr:uid="{66BB98BF-A0F6-48B6-96F0-F9050F2215B9}"/>
    <dataValidation allowBlank="1" showInputMessage="1" showErrorMessage="1" promptTitle="Notes Reference" prompt="Note 17" sqref="B46 B58" xr:uid="{4F51EA7B-8472-4E48-A581-73A4FFBEF4C3}"/>
    <dataValidation allowBlank="1" showInputMessage="1" showErrorMessage="1" promptTitle="Notes Reference" prompt="Note 19" sqref="B47 B60" xr:uid="{05E731AE-33F3-4BF0-B2E2-0E69BEC6404B}"/>
    <dataValidation allowBlank="1" showInputMessage="1" showErrorMessage="1" promptTitle="Notes Reference" prompt="Note 20" sqref="B49 B59" xr:uid="{59E40FC0-E8BC-439D-89C0-6B9F638FE20C}"/>
    <dataValidation allowBlank="1" showInputMessage="1" showErrorMessage="1" promptTitle="Notes Reference" prompt="Note 18" sqref="B56 B57" xr:uid="{585CFF02-24C1-4454-B7A5-F08805CB83B6}"/>
    <dataValidation allowBlank="1" showInputMessage="1" showErrorMessage="1" promptTitle="Notes Reference" prompt="Note 21" sqref="B61" xr:uid="{2699E7CB-EB7D-411A-A758-AF97C046E1E6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6431-1765-422E-A84A-C58A078D3A59}">
  <sheetPr>
    <tabColor theme="3" tint="-0.249977111117893"/>
  </sheetPr>
  <dimension ref="B1:M48"/>
  <sheetViews>
    <sheetView showGridLines="0" zoomScale="75" zoomScaleNormal="145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E42" sqref="E42"/>
    </sheetView>
  </sheetViews>
  <sheetFormatPr defaultRowHeight="15.75" customHeight="1" x14ac:dyDescent="0.25"/>
  <cols>
    <col min="1" max="1" width="3.5546875" style="2" customWidth="1"/>
    <col min="2" max="2" width="70.88671875" style="2" bestFit="1" customWidth="1"/>
    <col min="3" max="7" width="14.109375" style="2" customWidth="1"/>
    <col min="8" max="8" width="5.88671875" customWidth="1"/>
    <col min="9" max="13" width="11.6640625" style="2" customWidth="1"/>
    <col min="14" max="16384" width="8.88671875" style="2"/>
  </cols>
  <sheetData>
    <row r="1" spans="2:13" ht="21" x14ac:dyDescent="0.25">
      <c r="B1" s="327" t="s">
        <v>57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2:13" ht="15.75" customHeight="1" x14ac:dyDescent="0.25">
      <c r="B2" s="3" t="s">
        <v>171</v>
      </c>
    </row>
    <row r="3" spans="2:13" ht="15.75" customHeight="1" x14ac:dyDescent="0.25">
      <c r="C3" s="4" t="s">
        <v>58</v>
      </c>
      <c r="D3" s="4"/>
      <c r="E3" s="4"/>
      <c r="F3" s="4"/>
      <c r="G3" s="4"/>
      <c r="I3" s="325" t="s">
        <v>175</v>
      </c>
      <c r="J3" s="325"/>
      <c r="K3" s="325"/>
      <c r="L3" s="325"/>
      <c r="M3" s="325"/>
    </row>
    <row r="4" spans="2:13" ht="15.75" customHeight="1" thickBot="1" x14ac:dyDescent="0.3"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I4" s="42" t="s">
        <v>176</v>
      </c>
      <c r="J4" s="42" t="s">
        <v>177</v>
      </c>
      <c r="K4" s="42" t="s">
        <v>178</v>
      </c>
      <c r="L4" s="42" t="s">
        <v>179</v>
      </c>
      <c r="M4" s="42" t="s">
        <v>180</v>
      </c>
    </row>
    <row r="5" spans="2:13" ht="15.75" customHeight="1" x14ac:dyDescent="0.25">
      <c r="B5" s="13" t="s">
        <v>59</v>
      </c>
      <c r="C5" s="13"/>
      <c r="D5" s="13"/>
      <c r="E5" s="13"/>
      <c r="F5" s="13"/>
      <c r="G5" s="13"/>
      <c r="I5" s="26"/>
      <c r="J5" s="26"/>
      <c r="K5" s="26"/>
      <c r="L5" s="26"/>
      <c r="M5" s="26"/>
    </row>
    <row r="6" spans="2:13" ht="15.75" customHeight="1" x14ac:dyDescent="0.25">
      <c r="B6" s="5" t="s">
        <v>60</v>
      </c>
      <c r="C6" s="5">
        <v>21440.240000000002</v>
      </c>
      <c r="D6" s="5">
        <v>28830.02</v>
      </c>
      <c r="E6" s="5">
        <v>34253.35</v>
      </c>
      <c r="F6" s="5">
        <v>35248.879999999997</v>
      </c>
      <c r="G6" s="5">
        <v>33626.82</v>
      </c>
      <c r="I6" s="21">
        <f>G6*(1+Assumptions!I7)</f>
        <v>35644.429199999999</v>
      </c>
      <c r="J6" s="21">
        <f>I6*(1+Assumptions!J7)</f>
        <v>38495.983536</v>
      </c>
      <c r="K6" s="21">
        <f>J6*(1+Assumptions!K7)</f>
        <v>41575.662218880003</v>
      </c>
      <c r="L6" s="21">
        <f>K6*(1+Assumptions!L7)</f>
        <v>44901.715196390403</v>
      </c>
      <c r="M6" s="21">
        <f>L6*(1+Assumptions!M7)</f>
        <v>48044.835260137734</v>
      </c>
    </row>
    <row r="7" spans="2:13" ht="15.75" customHeight="1" x14ac:dyDescent="0.25">
      <c r="B7" s="5" t="s">
        <v>61</v>
      </c>
      <c r="C7" s="5">
        <v>44.96</v>
      </c>
      <c r="D7" s="5">
        <v>93.46</v>
      </c>
      <c r="E7" s="5">
        <v>114.48</v>
      </c>
      <c r="F7" s="5">
        <v>133.24</v>
      </c>
      <c r="G7" s="5">
        <v>170.54</v>
      </c>
      <c r="I7" s="21">
        <f>G7*(1+Assumptions!I7)</f>
        <v>180.7724</v>
      </c>
      <c r="J7" s="21">
        <f>I7*(1+Assumptions!J7)</f>
        <v>195.23419200000001</v>
      </c>
      <c r="K7" s="21">
        <f>J7*(1+Assumptions!K7)</f>
        <v>210.85292736000002</v>
      </c>
      <c r="L7" s="21">
        <f>K7*(1+Assumptions!L7)</f>
        <v>227.72116154880004</v>
      </c>
      <c r="M7" s="21">
        <f>L7*(1+Assumptions!M7)</f>
        <v>243.66164285721607</v>
      </c>
    </row>
    <row r="8" spans="2:13" ht="15.75" customHeight="1" x14ac:dyDescent="0.25">
      <c r="B8" s="5" t="s">
        <v>62</v>
      </c>
      <c r="C8" s="5">
        <v>227.59</v>
      </c>
      <c r="D8" s="5">
        <v>177.8</v>
      </c>
      <c r="E8" s="5">
        <v>120.76</v>
      </c>
      <c r="F8" s="5">
        <v>112.61</v>
      </c>
      <c r="G8" s="5">
        <v>108.26</v>
      </c>
      <c r="I8" s="21">
        <f>G8*(1+Assumptions!I7)</f>
        <v>114.75560000000002</v>
      </c>
      <c r="J8" s="21">
        <f>I8*(1+Assumptions!J7)</f>
        <v>123.93604800000003</v>
      </c>
      <c r="K8" s="21">
        <f>J8*(1+Assumptions!K7)</f>
        <v>133.85093184000004</v>
      </c>
      <c r="L8" s="21">
        <f>K8*(1+Assumptions!L7)</f>
        <v>144.55900638720004</v>
      </c>
      <c r="M8" s="21">
        <f>L8*(1+Assumptions!M7)</f>
        <v>154.67813683430404</v>
      </c>
    </row>
    <row r="9" spans="2:13" ht="15.75" customHeight="1" x14ac:dyDescent="0.25">
      <c r="B9" s="5" t="s">
        <v>63</v>
      </c>
      <c r="C9" s="5">
        <v>303.05</v>
      </c>
      <c r="D9" s="5">
        <v>380.01</v>
      </c>
      <c r="E9" s="5">
        <v>386.48</v>
      </c>
      <c r="F9" s="5">
        <v>687.96</v>
      </c>
      <c r="G9" s="5">
        <v>572.61</v>
      </c>
      <c r="I9" s="21">
        <f>Assumptions!I8</f>
        <v>600</v>
      </c>
      <c r="J9" s="21">
        <f>Assumptions!J8</f>
        <v>650</v>
      </c>
      <c r="K9" s="21">
        <f>Assumptions!K8</f>
        <v>700</v>
      </c>
      <c r="L9" s="21">
        <f>Assumptions!L8</f>
        <v>750</v>
      </c>
      <c r="M9" s="21">
        <f>Assumptions!M8</f>
        <v>800</v>
      </c>
    </row>
    <row r="10" spans="2:13" ht="15.75" customHeight="1" x14ac:dyDescent="0.25">
      <c r="B10" s="5" t="s">
        <v>64</v>
      </c>
      <c r="C10" s="5">
        <v>22015.84</v>
      </c>
      <c r="D10" s="5">
        <v>29481.29</v>
      </c>
      <c r="E10" s="5">
        <v>34875.07</v>
      </c>
      <c r="F10" s="5">
        <v>36182.69</v>
      </c>
      <c r="G10" s="5">
        <v>34478.230000000003</v>
      </c>
      <c r="I10" s="23">
        <f t="shared" ref="I10:M10" si="0">SUM(I6:I9)</f>
        <v>36539.957199999997</v>
      </c>
      <c r="J10" s="23">
        <f t="shared" si="0"/>
        <v>39465.153776000006</v>
      </c>
      <c r="K10" s="23">
        <f t="shared" si="0"/>
        <v>42620.366078080006</v>
      </c>
      <c r="L10" s="23">
        <f t="shared" si="0"/>
        <v>46023.995364326402</v>
      </c>
      <c r="M10" s="23">
        <f t="shared" si="0"/>
        <v>49243.175039829257</v>
      </c>
    </row>
    <row r="11" spans="2:13" ht="15.75" customHeight="1" x14ac:dyDescent="0.25">
      <c r="B11" s="13" t="s">
        <v>65</v>
      </c>
      <c r="C11" s="13"/>
      <c r="D11" s="13"/>
      <c r="E11" s="13"/>
      <c r="F11" s="13"/>
      <c r="G11" s="13"/>
      <c r="I11" s="17"/>
      <c r="J11" s="17"/>
      <c r="K11" s="17"/>
      <c r="L11" s="17"/>
      <c r="M11" s="17"/>
    </row>
    <row r="12" spans="2:13" ht="15.75" customHeight="1" x14ac:dyDescent="0.25">
      <c r="B12" s="5" t="s">
        <v>66</v>
      </c>
      <c r="C12" s="5">
        <v>10317.09</v>
      </c>
      <c r="D12" s="5">
        <v>16254.59</v>
      </c>
      <c r="E12" s="5">
        <v>17330.580000000002</v>
      </c>
      <c r="F12" s="5">
        <v>15868.21</v>
      </c>
      <c r="G12" s="5">
        <v>15793.92</v>
      </c>
      <c r="I12" s="21">
        <f>Assumptions!I$11*(I$6+I$7+I$8)*($C12/($C$12+$C$13+$C$14))</f>
        <v>18084.264421428979</v>
      </c>
      <c r="J12" s="21">
        <f>Assumptions!J$11*(J$6+J$7+J$8)*($C12/($C$12+$C$13+$C$14))</f>
        <v>19531.005575143303</v>
      </c>
      <c r="K12" s="21">
        <f>Assumptions!K$11*(K$6+K$7+K$8)*($C12/($C$12+$C$13+$C$14))</f>
        <v>21093.486021154768</v>
      </c>
      <c r="L12" s="21">
        <f>Assumptions!L$11*(L$6+L$7+L$8)*($C12/($C$12+$C$13+$C$14))</f>
        <v>22780.964902847147</v>
      </c>
      <c r="M12" s="21">
        <f>Assumptions!M$11*(M$6+M$7+M$8)*($C12/($C$12+$C$13+$C$14))</f>
        <v>24375.632446046449</v>
      </c>
    </row>
    <row r="13" spans="2:13" ht="15.75" customHeight="1" x14ac:dyDescent="0.25">
      <c r="B13" s="5" t="s">
        <v>67</v>
      </c>
      <c r="C13" s="5">
        <v>1872.59</v>
      </c>
      <c r="D13" s="5">
        <v>3371.13</v>
      </c>
      <c r="E13" s="5">
        <v>4135.6499999999996</v>
      </c>
      <c r="F13" s="5">
        <v>3858.2</v>
      </c>
      <c r="G13" s="5">
        <v>3926.86</v>
      </c>
      <c r="I13" s="21">
        <f>Assumptions!I$11*(I$6+I$7+I$8)*($C13/($C$12+$C$13+$C$14))</f>
        <v>3282.3608898365419</v>
      </c>
      <c r="J13" s="21">
        <f>Assumptions!J$11*(J$6+J$7+J$8)*($C13/($C$12+$C$13+$C$14))</f>
        <v>3544.9497610234666</v>
      </c>
      <c r="K13" s="21">
        <f>Assumptions!K$11*(K$6+K$7+K$8)*($C13/($C$12+$C$13+$C$14))</f>
        <v>3828.5457419053441</v>
      </c>
      <c r="L13" s="21">
        <f>Assumptions!L$11*(L$6+L$7+L$8)*($C13/($C$12+$C$13+$C$14))</f>
        <v>4134.8294012577708</v>
      </c>
      <c r="M13" s="21">
        <f>Assumptions!M$11*(M$6+M$7+M$8)*($C13/($C$12+$C$13+$C$14))</f>
        <v>4424.267459345816</v>
      </c>
    </row>
    <row r="14" spans="2:13" ht="15.75" customHeight="1" x14ac:dyDescent="0.25">
      <c r="B14" s="5" t="s">
        <v>68</v>
      </c>
      <c r="C14" s="5">
        <v>-92.45</v>
      </c>
      <c r="D14" s="5">
        <v>-1324.97</v>
      </c>
      <c r="E14" s="5">
        <v>-309.73</v>
      </c>
      <c r="F14" s="5">
        <v>363.8</v>
      </c>
      <c r="G14" s="5">
        <v>-205</v>
      </c>
      <c r="I14" s="21">
        <f>Assumptions!I$11*(I$6+I$7+I$8)*($C14/($C$12+$C$13+$C$14))</f>
        <v>-162.0505632655244</v>
      </c>
      <c r="J14" s="21">
        <f>Assumptions!J$11*(J$6+J$7+J$8)*($C14/($C$12+$C$13+$C$14))</f>
        <v>-175.01460832676639</v>
      </c>
      <c r="K14" s="21">
        <f>Assumptions!K$11*(K$6+K$7+K$8)*($C14/($C$12+$C$13+$C$14))</f>
        <v>-189.01577699290772</v>
      </c>
      <c r="L14" s="21">
        <f>Assumptions!L$11*(L$6+L$7+L$8)*($C14/($C$12+$C$13+$C$14))</f>
        <v>-204.13703915234032</v>
      </c>
      <c r="M14" s="21">
        <f>Assumptions!M$11*(M$6+M$7+M$8)*($C14/($C$12+$C$13+$C$14))</f>
        <v>-218.42663189300416</v>
      </c>
    </row>
    <row r="15" spans="2:13" ht="15.75" customHeight="1" x14ac:dyDescent="0.25">
      <c r="B15" s="5" t="s">
        <v>69</v>
      </c>
      <c r="C15" s="5">
        <v>1540.75</v>
      </c>
      <c r="D15" s="5">
        <v>1786.67</v>
      </c>
      <c r="E15" s="5">
        <v>2028.07</v>
      </c>
      <c r="F15" s="5">
        <v>2326.1799999999998</v>
      </c>
      <c r="G15" s="5">
        <v>2597.23</v>
      </c>
      <c r="I15" s="21">
        <f>Assumptions!I12*(I$6+I$7+I$8)</f>
        <v>2695.4967899999997</v>
      </c>
      <c r="J15" s="21">
        <f>Assumptions!J12*(J$6+J$7+J$8)</f>
        <v>2911.1365332000005</v>
      </c>
      <c r="K15" s="21">
        <f>Assumptions!K12*(K$6+K$7+K$8)</f>
        <v>3144.0274558560004</v>
      </c>
      <c r="L15" s="21">
        <f>Assumptions!L12*(L$6+L$7+L$8)</f>
        <v>3395.5496523244801</v>
      </c>
      <c r="M15" s="21">
        <f>Assumptions!M12*(M$6+M$7+M$8)</f>
        <v>3633.2381279871943</v>
      </c>
    </row>
    <row r="16" spans="2:13" x14ac:dyDescent="0.25">
      <c r="B16" s="5" t="s">
        <v>70</v>
      </c>
      <c r="C16" s="5">
        <v>3219.21</v>
      </c>
      <c r="D16" s="5">
        <v>4210.25</v>
      </c>
      <c r="E16" s="5">
        <v>5044.18</v>
      </c>
      <c r="F16" s="5">
        <v>5493.36</v>
      </c>
      <c r="G16" s="5">
        <v>5786.4</v>
      </c>
      <c r="I16" s="21">
        <f>Assumptions!I13*(I$6+I$7+I$8)</f>
        <v>5750.3931519999996</v>
      </c>
      <c r="J16" s="21">
        <f>Assumptions!J13*(J$6+J$7+J$8)</f>
        <v>6210.4246041600009</v>
      </c>
      <c r="K16" s="21">
        <f>Assumptions!K13*(K$6+K$7+K$8)</f>
        <v>6707.2585724928012</v>
      </c>
      <c r="L16" s="21">
        <f>Assumptions!L13*(L$6+L$7+L$8)</f>
        <v>7243.8392582922243</v>
      </c>
      <c r="M16" s="21">
        <f>Assumptions!M13*(M$6+M$7+M$8)</f>
        <v>7750.9080063726815</v>
      </c>
    </row>
    <row r="17" spans="2:13" x14ac:dyDescent="0.25">
      <c r="B17" s="5" t="s">
        <v>71</v>
      </c>
      <c r="C17" s="5">
        <v>16857.189999999999</v>
      </c>
      <c r="D17" s="5">
        <v>24297.67</v>
      </c>
      <c r="E17" s="5">
        <v>28228.75</v>
      </c>
      <c r="F17" s="5">
        <v>27909.75</v>
      </c>
      <c r="G17" s="5">
        <v>27899.41</v>
      </c>
      <c r="I17" s="23">
        <f t="shared" ref="I17:M17" si="1">SUM(I12:I16)</f>
        <v>29650.464689999997</v>
      </c>
      <c r="J17" s="23">
        <f t="shared" si="1"/>
        <v>32022.501865200004</v>
      </c>
      <c r="K17" s="23">
        <f t="shared" si="1"/>
        <v>34584.302014416011</v>
      </c>
      <c r="L17" s="23">
        <f t="shared" si="1"/>
        <v>37351.046175569281</v>
      </c>
      <c r="M17" s="23">
        <f t="shared" si="1"/>
        <v>39965.619407859136</v>
      </c>
    </row>
    <row r="18" spans="2:13" ht="15.75" customHeight="1" x14ac:dyDescent="0.25">
      <c r="B18" s="5" t="s">
        <v>72</v>
      </c>
      <c r="C18" s="5">
        <v>5158.6499999999996</v>
      </c>
      <c r="D18" s="5">
        <v>5183.62</v>
      </c>
      <c r="E18" s="5">
        <v>6646.32</v>
      </c>
      <c r="F18" s="5">
        <v>8272.94</v>
      </c>
      <c r="G18" s="5">
        <v>6578.82</v>
      </c>
      <c r="I18" s="23">
        <f t="shared" ref="I18:M18" si="2">I10-I17</f>
        <v>6889.49251</v>
      </c>
      <c r="J18" s="23">
        <f t="shared" si="2"/>
        <v>7442.651910800003</v>
      </c>
      <c r="K18" s="23">
        <f t="shared" si="2"/>
        <v>8036.0640636639946</v>
      </c>
      <c r="L18" s="23">
        <f t="shared" si="2"/>
        <v>8672.9491887571203</v>
      </c>
      <c r="M18" s="23">
        <f t="shared" si="2"/>
        <v>9277.5556319701209</v>
      </c>
    </row>
    <row r="19" spans="2:13" ht="15.75" customHeight="1" x14ac:dyDescent="0.25">
      <c r="B19" s="5" t="s">
        <v>73</v>
      </c>
      <c r="C19" s="5">
        <v>91.63</v>
      </c>
      <c r="D19" s="5">
        <v>95.41</v>
      </c>
      <c r="E19" s="5">
        <v>144.44999999999999</v>
      </c>
      <c r="F19" s="5">
        <v>205.17</v>
      </c>
      <c r="G19" s="5">
        <v>227.02</v>
      </c>
      <c r="I19" s="21">
        <f>Assumptions!I24*(I$6+I$7+I$8)</f>
        <v>233.60972179999996</v>
      </c>
      <c r="J19" s="21">
        <f>Assumptions!J24*(J$6+J$7+J$8)</f>
        <v>252.29849954400004</v>
      </c>
      <c r="K19" s="21">
        <f>Assumptions!K24*(K$6+K$7+K$8)</f>
        <v>272.48237950752002</v>
      </c>
      <c r="L19" s="21">
        <f>Assumptions!L24*(L$6+L$7+L$8)</f>
        <v>294.28096986812159</v>
      </c>
      <c r="M19" s="21">
        <f>Assumptions!M24*(M$6+M$7+M$8)</f>
        <v>314.88063775889015</v>
      </c>
    </row>
    <row r="20" spans="2:13" ht="15.75" customHeight="1" x14ac:dyDescent="0.25">
      <c r="B20" s="5" t="s">
        <v>74</v>
      </c>
      <c r="C20" s="5">
        <v>791.27</v>
      </c>
      <c r="D20" s="5">
        <v>816.36</v>
      </c>
      <c r="E20" s="5">
        <v>858.02</v>
      </c>
      <c r="F20" s="5">
        <v>853</v>
      </c>
      <c r="G20" s="5">
        <v>1026.3399999999999</v>
      </c>
      <c r="I20" s="21">
        <f>G20*(1+Assumptions!I14)</f>
        <v>1108.4472000000001</v>
      </c>
      <c r="J20" s="21">
        <f>I20*(1+Assumptions!J14)</f>
        <v>1197.1229760000001</v>
      </c>
      <c r="K20" s="21">
        <f>J20*(1+Assumptions!K14)</f>
        <v>1292.8928140800001</v>
      </c>
      <c r="L20" s="21">
        <f>K20*(1+Assumptions!L14)</f>
        <v>1396.3242392064003</v>
      </c>
      <c r="M20" s="21">
        <f>L20*(1+Assumptions!M14)</f>
        <v>1508.0301783429124</v>
      </c>
    </row>
    <row r="21" spans="2:13" ht="15.75" customHeight="1" x14ac:dyDescent="0.25">
      <c r="B21" s="5" t="s">
        <v>75</v>
      </c>
      <c r="C21" s="5">
        <v>4275.75</v>
      </c>
      <c r="D21" s="5">
        <v>4271.8500000000004</v>
      </c>
      <c r="E21" s="5">
        <v>5643.85</v>
      </c>
      <c r="F21" s="5">
        <v>7214.77</v>
      </c>
      <c r="G21" s="5">
        <v>5325.46</v>
      </c>
      <c r="I21" s="23">
        <f t="shared" ref="I21:M21" si="3">I18-I19-I20</f>
        <v>5547.4355882</v>
      </c>
      <c r="J21" s="23">
        <f t="shared" si="3"/>
        <v>5993.2304352560022</v>
      </c>
      <c r="K21" s="23">
        <f t="shared" si="3"/>
        <v>6470.6888700764748</v>
      </c>
      <c r="L21" s="23">
        <f t="shared" si="3"/>
        <v>6982.3439796825987</v>
      </c>
      <c r="M21" s="23">
        <f t="shared" si="3"/>
        <v>7454.6448158683188</v>
      </c>
    </row>
    <row r="22" spans="2:13" ht="15.75" customHeight="1" x14ac:dyDescent="0.25">
      <c r="B22" s="5" t="s">
        <v>76</v>
      </c>
      <c r="C22" s="5">
        <v>28.6</v>
      </c>
      <c r="D22" s="5">
        <v>31.57</v>
      </c>
      <c r="E22" s="5">
        <v>93.85</v>
      </c>
      <c r="F22" s="5">
        <v>133</v>
      </c>
      <c r="G22" s="5">
        <v>140.71</v>
      </c>
      <c r="I22" s="21">
        <f>G22*(1+Assumptions!I29)</f>
        <v>147.74550000000002</v>
      </c>
      <c r="J22" s="21">
        <f>I22*(1+Assumptions!J29)</f>
        <v>155.13277500000004</v>
      </c>
      <c r="K22" s="21">
        <f>J22*(1+Assumptions!K29)</f>
        <v>162.88941375000005</v>
      </c>
      <c r="L22" s="21">
        <f>K22*(1+Assumptions!L29)</f>
        <v>171.03388443750006</v>
      </c>
      <c r="M22" s="21">
        <f>L22*(1+Assumptions!M29)</f>
        <v>179.58557865937507</v>
      </c>
    </row>
    <row r="23" spans="2:13" ht="15.75" customHeight="1" x14ac:dyDescent="0.25">
      <c r="B23" s="5" t="s">
        <v>77</v>
      </c>
      <c r="C23" s="5"/>
      <c r="D23" s="5">
        <v>4303.42</v>
      </c>
      <c r="E23" s="5">
        <v>5737.7</v>
      </c>
      <c r="F23" s="5">
        <v>7347.77</v>
      </c>
      <c r="G23" s="5">
        <v>5466.17</v>
      </c>
      <c r="I23" s="23">
        <f t="shared" ref="I23:M23" si="4">I21+I22</f>
        <v>5695.1810882</v>
      </c>
      <c r="J23" s="23">
        <f t="shared" si="4"/>
        <v>6148.3632102560023</v>
      </c>
      <c r="K23" s="23">
        <f t="shared" si="4"/>
        <v>6633.5782838264749</v>
      </c>
      <c r="L23" s="23">
        <f t="shared" si="4"/>
        <v>7153.3778641200988</v>
      </c>
      <c r="M23" s="23">
        <f t="shared" si="4"/>
        <v>7634.2303945276935</v>
      </c>
    </row>
    <row r="24" spans="2:13" ht="15.75" customHeight="1" x14ac:dyDescent="0.25">
      <c r="B24" s="5" t="s">
        <v>78</v>
      </c>
      <c r="C24" s="5"/>
      <c r="D24" s="5">
        <v>115.7</v>
      </c>
      <c r="E24" s="5">
        <v>48.87</v>
      </c>
      <c r="F24" s="5">
        <v>0</v>
      </c>
      <c r="G24" s="5">
        <v>363.1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</row>
    <row r="25" spans="2:13" ht="15.75" customHeight="1" x14ac:dyDescent="0.25">
      <c r="B25" s="5" t="s">
        <v>79</v>
      </c>
      <c r="C25" s="5">
        <v>4304.3500000000004</v>
      </c>
      <c r="D25" s="5">
        <v>4187.72</v>
      </c>
      <c r="E25" s="5">
        <v>5688.83</v>
      </c>
      <c r="F25" s="5">
        <v>7347.77</v>
      </c>
      <c r="G25" s="5">
        <v>5103.07</v>
      </c>
      <c r="I25" s="24">
        <f t="shared" ref="I25:M25" si="5">I23-I24</f>
        <v>5695.1810882</v>
      </c>
      <c r="J25" s="24">
        <f t="shared" si="5"/>
        <v>6148.3632102560023</v>
      </c>
      <c r="K25" s="24">
        <f t="shared" si="5"/>
        <v>6633.5782838264749</v>
      </c>
      <c r="L25" s="24">
        <f t="shared" si="5"/>
        <v>7153.3778641200988</v>
      </c>
      <c r="M25" s="24">
        <f t="shared" si="5"/>
        <v>7634.2303945276935</v>
      </c>
    </row>
    <row r="26" spans="2:13" ht="15.75" customHeight="1" x14ac:dyDescent="0.25">
      <c r="B26" s="7" t="s">
        <v>80</v>
      </c>
    </row>
    <row r="27" spans="2:13" ht="15.75" customHeight="1" x14ac:dyDescent="0.25">
      <c r="B27" s="19" t="s">
        <v>81</v>
      </c>
      <c r="C27" s="2">
        <v>1114.02</v>
      </c>
      <c r="D27" s="2">
        <v>1161.53</v>
      </c>
      <c r="E27" s="2">
        <v>1504.14</v>
      </c>
      <c r="F27" s="2">
        <v>1836</v>
      </c>
      <c r="G27" s="2">
        <v>1388.98</v>
      </c>
      <c r="I27" s="27">
        <f>Assumptions!I15*I25</f>
        <v>1480.747082932</v>
      </c>
      <c r="J27" s="27">
        <f>Assumptions!J15*J25</f>
        <v>1598.5744346665606</v>
      </c>
      <c r="K27" s="27">
        <f>Assumptions!K15*K25</f>
        <v>1724.7303537948835</v>
      </c>
      <c r="L27" s="27">
        <f>Assumptions!L15*L25</f>
        <v>1859.8782446712257</v>
      </c>
      <c r="M27" s="27">
        <f>Assumptions!M15*M25</f>
        <v>1984.8999025772005</v>
      </c>
    </row>
    <row r="28" spans="2:13" ht="15.75" customHeight="1" x14ac:dyDescent="0.25">
      <c r="B28" s="19" t="s">
        <v>82</v>
      </c>
      <c r="C28" s="2">
        <v>7.74</v>
      </c>
      <c r="D28" s="2">
        <v>2.82</v>
      </c>
      <c r="E28" s="2">
        <v>6.64</v>
      </c>
      <c r="F28" s="2">
        <v>-51.35</v>
      </c>
      <c r="G28" s="2">
        <v>-13.39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</row>
    <row r="29" spans="2:13" ht="15.75" customHeight="1" x14ac:dyDescent="0.25">
      <c r="B29" s="19" t="s">
        <v>83</v>
      </c>
      <c r="C29" s="2">
        <v>-24.16</v>
      </c>
      <c r="D29" s="2">
        <v>-61.44</v>
      </c>
      <c r="E29" s="2">
        <v>-17.28</v>
      </c>
      <c r="F29" s="2">
        <v>5.43</v>
      </c>
      <c r="G29" s="2">
        <v>17.77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</row>
    <row r="30" spans="2:13" ht="15.75" customHeight="1" x14ac:dyDescent="0.25">
      <c r="B30" s="5" t="s">
        <v>84</v>
      </c>
      <c r="C30" s="5">
        <v>1097.5999999999999</v>
      </c>
      <c r="D30" s="5">
        <v>1102.9100000000001</v>
      </c>
      <c r="E30" s="5">
        <v>1493.5</v>
      </c>
      <c r="F30" s="5">
        <v>1790.08</v>
      </c>
      <c r="G30" s="5">
        <v>1393.36</v>
      </c>
      <c r="I30" s="23">
        <f t="shared" ref="I30:M30" si="6">SUM(I27:I29)</f>
        <v>1480.747082932</v>
      </c>
      <c r="J30" s="23">
        <f t="shared" si="6"/>
        <v>1598.5744346665606</v>
      </c>
      <c r="K30" s="23">
        <f t="shared" si="6"/>
        <v>1724.7303537948835</v>
      </c>
      <c r="L30" s="23">
        <f t="shared" si="6"/>
        <v>1859.8782446712257</v>
      </c>
      <c r="M30" s="23">
        <f t="shared" si="6"/>
        <v>1984.8999025772005</v>
      </c>
    </row>
    <row r="31" spans="2:13" ht="15.75" customHeight="1" x14ac:dyDescent="0.25">
      <c r="B31" s="5" t="s">
        <v>85</v>
      </c>
      <c r="C31" s="5">
        <v>3206.75</v>
      </c>
      <c r="D31" s="5">
        <v>3084.81</v>
      </c>
      <c r="E31" s="5">
        <v>4195.33</v>
      </c>
      <c r="F31" s="5">
        <v>5557.69</v>
      </c>
      <c r="G31" s="5">
        <v>3709.71</v>
      </c>
      <c r="I31" s="23">
        <f t="shared" ref="I31:M31" si="7">I25-I30</f>
        <v>4214.434005268</v>
      </c>
      <c r="J31" s="23">
        <f t="shared" si="7"/>
        <v>4549.7887755894417</v>
      </c>
      <c r="K31" s="23">
        <f t="shared" si="7"/>
        <v>4908.8479300315912</v>
      </c>
      <c r="L31" s="23">
        <f t="shared" si="7"/>
        <v>5293.4996194488731</v>
      </c>
      <c r="M31" s="23">
        <f t="shared" si="7"/>
        <v>5649.3304919504935</v>
      </c>
    </row>
    <row r="32" spans="2:13" ht="15.75" customHeight="1" x14ac:dyDescent="0.25">
      <c r="B32" s="5" t="s">
        <v>86</v>
      </c>
      <c r="C32" s="5">
        <v>-5.68</v>
      </c>
      <c r="D32" s="5">
        <v>-225.66</v>
      </c>
      <c r="E32" s="5">
        <v>13.04</v>
      </c>
      <c r="F32" s="5">
        <v>31.96</v>
      </c>
      <c r="G32" s="5">
        <v>114.56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</row>
    <row r="33" spans="2:13" ht="15.75" customHeight="1" x14ac:dyDescent="0.25">
      <c r="B33" s="5" t="s">
        <v>87</v>
      </c>
      <c r="C33" s="5">
        <v>3201.07</v>
      </c>
      <c r="D33" s="5">
        <v>2859.15</v>
      </c>
      <c r="E33" s="5">
        <v>4208.37</v>
      </c>
      <c r="F33" s="5">
        <v>5589.65</v>
      </c>
      <c r="G33" s="5">
        <v>3824.27</v>
      </c>
      <c r="I33" s="24">
        <f t="shared" ref="I33:M33" si="8">I31+I32</f>
        <v>4214.434005268</v>
      </c>
      <c r="J33" s="24">
        <f t="shared" si="8"/>
        <v>4549.7887755894417</v>
      </c>
      <c r="K33" s="24">
        <f t="shared" si="8"/>
        <v>4908.8479300315912</v>
      </c>
      <c r="L33" s="24">
        <f t="shared" si="8"/>
        <v>5293.4996194488731</v>
      </c>
      <c r="M33" s="24">
        <f t="shared" si="8"/>
        <v>5649.3304919504935</v>
      </c>
    </row>
    <row r="34" spans="2:13" ht="15.75" customHeight="1" x14ac:dyDescent="0.25">
      <c r="B34" s="13" t="s">
        <v>88</v>
      </c>
      <c r="C34" s="13"/>
      <c r="D34" s="13"/>
      <c r="E34" s="13"/>
      <c r="F34" s="13"/>
      <c r="G34" s="13"/>
      <c r="I34" s="13"/>
      <c r="J34" s="13"/>
      <c r="K34" s="13"/>
      <c r="L34" s="13"/>
      <c r="M34" s="13"/>
    </row>
    <row r="35" spans="2:13" ht="15.75" customHeight="1" x14ac:dyDescent="0.25">
      <c r="B35" s="20" t="s">
        <v>97</v>
      </c>
      <c r="C35" s="2">
        <v>3139.29</v>
      </c>
      <c r="D35" s="2">
        <v>3030.57</v>
      </c>
      <c r="E35" s="2">
        <v>4106.45</v>
      </c>
      <c r="F35" s="2">
        <v>5460.23</v>
      </c>
      <c r="G35" s="2">
        <v>3667.23</v>
      </c>
      <c r="I35" s="27">
        <f>I31*(1-Assumptions!I30)</f>
        <v>4165.9680142074185</v>
      </c>
      <c r="J35" s="27">
        <f>J31*(1-Assumptions!J30)</f>
        <v>4497.4662046701633</v>
      </c>
      <c r="K35" s="27">
        <f>K31*(1-Assumptions!K30)</f>
        <v>4852.3961788362285</v>
      </c>
      <c r="L35" s="27">
        <f>L31*(1-Assumptions!L30)</f>
        <v>5232.6243738252115</v>
      </c>
      <c r="M35" s="27">
        <f>M31*(1-Assumptions!M30)</f>
        <v>5584.3631912930632</v>
      </c>
    </row>
    <row r="36" spans="2:13" ht="15.75" customHeight="1" x14ac:dyDescent="0.25">
      <c r="B36" s="20" t="s">
        <v>98</v>
      </c>
      <c r="C36" s="2">
        <v>67.459999999999994</v>
      </c>
      <c r="D36" s="2">
        <v>54.24</v>
      </c>
      <c r="E36" s="2">
        <v>88.88</v>
      </c>
      <c r="F36" s="2">
        <v>97.46</v>
      </c>
      <c r="G36" s="2">
        <v>42.48</v>
      </c>
      <c r="I36" s="27">
        <f>I31*Assumptions!I30</f>
        <v>48.465991060581999</v>
      </c>
      <c r="J36" s="27">
        <f>J31*Assumptions!J30</f>
        <v>52.322570919278576</v>
      </c>
      <c r="K36" s="27">
        <f>K31*Assumptions!K30</f>
        <v>56.4517511953633</v>
      </c>
      <c r="L36" s="27">
        <f>L31*Assumptions!L30</f>
        <v>60.875245623662039</v>
      </c>
      <c r="M36" s="27">
        <f>M31*Assumptions!M30</f>
        <v>64.96730065743067</v>
      </c>
    </row>
    <row r="37" spans="2:13" ht="15.75" customHeight="1" x14ac:dyDescent="0.25">
      <c r="B37" s="2" t="s">
        <v>89</v>
      </c>
      <c r="C37" s="2">
        <v>3206.75</v>
      </c>
      <c r="D37" s="2">
        <v>3084.81</v>
      </c>
      <c r="E37" s="2">
        <v>4195.33</v>
      </c>
      <c r="F37" s="2">
        <v>5557.69</v>
      </c>
      <c r="G37" s="2">
        <v>3709.71</v>
      </c>
      <c r="I37" s="29">
        <f t="shared" ref="I37:M37" si="9">I35+I36</f>
        <v>4214.4340052680009</v>
      </c>
      <c r="J37" s="29">
        <f t="shared" si="9"/>
        <v>4549.7887755894417</v>
      </c>
      <c r="K37" s="29">
        <f t="shared" si="9"/>
        <v>4908.8479300315921</v>
      </c>
      <c r="L37" s="29">
        <f t="shared" si="9"/>
        <v>5293.4996194488731</v>
      </c>
      <c r="M37" s="29">
        <f t="shared" si="9"/>
        <v>5649.3304919504935</v>
      </c>
    </row>
    <row r="38" spans="2:13" ht="15.75" customHeight="1" x14ac:dyDescent="0.25">
      <c r="B38" s="13" t="s">
        <v>90</v>
      </c>
      <c r="C38" s="13"/>
      <c r="D38" s="13"/>
      <c r="E38" s="13"/>
      <c r="F38" s="13"/>
      <c r="G38" s="13"/>
      <c r="I38" s="13"/>
      <c r="J38" s="13"/>
      <c r="K38" s="13"/>
      <c r="L38" s="13"/>
      <c r="M38" s="13"/>
    </row>
    <row r="39" spans="2:13" ht="15.75" customHeight="1" x14ac:dyDescent="0.25">
      <c r="B39" s="20" t="s">
        <v>97</v>
      </c>
      <c r="C39" s="2">
        <v>4.13</v>
      </c>
      <c r="D39" s="2">
        <v>-212.31</v>
      </c>
      <c r="E39" s="2">
        <v>24.51</v>
      </c>
      <c r="F39" s="2">
        <v>42.14</v>
      </c>
      <c r="G39" s="2">
        <v>153.25</v>
      </c>
      <c r="I39" s="27">
        <f>I32*(1-Assumptions!I30)</f>
        <v>0</v>
      </c>
      <c r="J39" s="27">
        <f>J32*(1-Assumptions!J30)</f>
        <v>0</v>
      </c>
      <c r="K39" s="27">
        <f>K32*(1-Assumptions!K30)</f>
        <v>0</v>
      </c>
      <c r="L39" s="27">
        <f>L32*(1-Assumptions!L30)</f>
        <v>0</v>
      </c>
      <c r="M39" s="27">
        <f>M32*(1-Assumptions!M30)</f>
        <v>0</v>
      </c>
    </row>
    <row r="40" spans="2:13" ht="15.75" customHeight="1" x14ac:dyDescent="0.25">
      <c r="B40" s="20" t="s">
        <v>98</v>
      </c>
      <c r="C40" s="2">
        <v>-9.81</v>
      </c>
      <c r="D40" s="2">
        <v>-13.35</v>
      </c>
      <c r="E40" s="2">
        <v>-11.47</v>
      </c>
      <c r="F40" s="2">
        <v>-10.18</v>
      </c>
      <c r="G40" s="2">
        <v>-38.69</v>
      </c>
      <c r="I40" s="27">
        <f>I32*Assumptions!I30</f>
        <v>0</v>
      </c>
      <c r="J40" s="27">
        <f>J32*Assumptions!J30</f>
        <v>0</v>
      </c>
      <c r="K40" s="27">
        <f>K32*Assumptions!K30</f>
        <v>0</v>
      </c>
      <c r="L40" s="27">
        <f>L32*Assumptions!L30</f>
        <v>0</v>
      </c>
      <c r="M40" s="27">
        <f>M32*Assumptions!M30</f>
        <v>0</v>
      </c>
    </row>
    <row r="41" spans="2:13" ht="15.75" customHeight="1" x14ac:dyDescent="0.25">
      <c r="B41" s="2" t="s">
        <v>91</v>
      </c>
      <c r="C41" s="2">
        <v>-5.68</v>
      </c>
      <c r="D41" s="2">
        <v>-225.66</v>
      </c>
      <c r="E41" s="2">
        <v>13.04</v>
      </c>
      <c r="F41" s="2">
        <v>31.96</v>
      </c>
      <c r="G41" s="2">
        <v>114.56</v>
      </c>
      <c r="I41" s="29">
        <f t="shared" ref="I41:M41" si="10">I39+I40</f>
        <v>0</v>
      </c>
      <c r="J41" s="29">
        <f t="shared" si="10"/>
        <v>0</v>
      </c>
      <c r="K41" s="29">
        <f t="shared" si="10"/>
        <v>0</v>
      </c>
      <c r="L41" s="29">
        <f t="shared" si="10"/>
        <v>0</v>
      </c>
      <c r="M41" s="29">
        <f t="shared" si="10"/>
        <v>0</v>
      </c>
    </row>
    <row r="42" spans="2:13" ht="15.75" customHeight="1" x14ac:dyDescent="0.25">
      <c r="B42" s="13" t="s">
        <v>92</v>
      </c>
      <c r="C42" s="13"/>
      <c r="D42" s="13"/>
      <c r="E42" s="13"/>
      <c r="F42" s="13"/>
      <c r="G42" s="13"/>
      <c r="I42" s="13"/>
      <c r="J42" s="13"/>
      <c r="K42" s="13"/>
      <c r="L42" s="13"/>
      <c r="M42" s="13"/>
    </row>
    <row r="43" spans="2:13" ht="15.75" customHeight="1" x14ac:dyDescent="0.25">
      <c r="B43" s="20" t="s">
        <v>97</v>
      </c>
      <c r="C43" s="2">
        <v>3143.42</v>
      </c>
      <c r="D43" s="2">
        <v>2818.26</v>
      </c>
      <c r="E43" s="2">
        <v>4130.96</v>
      </c>
      <c r="F43" s="2">
        <v>5502.37</v>
      </c>
      <c r="G43" s="2">
        <v>3820.48</v>
      </c>
      <c r="I43" s="27">
        <f t="shared" ref="I43:M44" si="11">I35+I39</f>
        <v>4165.9680142074185</v>
      </c>
      <c r="J43" s="27">
        <f t="shared" si="11"/>
        <v>4497.4662046701633</v>
      </c>
      <c r="K43" s="27">
        <f t="shared" si="11"/>
        <v>4852.3961788362285</v>
      </c>
      <c r="L43" s="27">
        <f t="shared" si="11"/>
        <v>5232.6243738252115</v>
      </c>
      <c r="M43" s="27">
        <f t="shared" si="11"/>
        <v>5584.3631912930632</v>
      </c>
    </row>
    <row r="44" spans="2:13" ht="15.75" customHeight="1" x14ac:dyDescent="0.25">
      <c r="B44" s="20" t="s">
        <v>98</v>
      </c>
      <c r="C44" s="2">
        <v>57.65</v>
      </c>
      <c r="D44" s="2">
        <v>40.89</v>
      </c>
      <c r="E44" s="2">
        <v>77.41</v>
      </c>
      <c r="F44" s="2">
        <v>87.28</v>
      </c>
      <c r="G44" s="2">
        <v>3.79</v>
      </c>
      <c r="I44" s="27">
        <f t="shared" si="11"/>
        <v>48.465991060581999</v>
      </c>
      <c r="J44" s="27">
        <f t="shared" si="11"/>
        <v>52.322570919278576</v>
      </c>
      <c r="K44" s="27">
        <f t="shared" si="11"/>
        <v>56.4517511953633</v>
      </c>
      <c r="L44" s="27">
        <f t="shared" si="11"/>
        <v>60.875245623662039</v>
      </c>
      <c r="M44" s="27">
        <f t="shared" si="11"/>
        <v>64.96730065743067</v>
      </c>
    </row>
    <row r="45" spans="2:13" ht="15.75" customHeight="1" x14ac:dyDescent="0.25">
      <c r="B45" s="2" t="s">
        <v>93</v>
      </c>
      <c r="C45" s="2">
        <v>3201.07</v>
      </c>
      <c r="D45" s="2">
        <v>2859.15</v>
      </c>
      <c r="E45" s="2">
        <v>4208.37</v>
      </c>
      <c r="F45" s="2">
        <v>5589.65</v>
      </c>
      <c r="G45" s="2">
        <v>3824.27</v>
      </c>
      <c r="I45" s="29">
        <f t="shared" ref="I45:M45" si="12">I43+I44</f>
        <v>4214.4340052680009</v>
      </c>
      <c r="J45" s="29">
        <f t="shared" si="12"/>
        <v>4549.7887755894417</v>
      </c>
      <c r="K45" s="29">
        <f t="shared" si="12"/>
        <v>4908.8479300315921</v>
      </c>
      <c r="L45" s="29">
        <f t="shared" si="12"/>
        <v>5293.4996194488731</v>
      </c>
      <c r="M45" s="29">
        <f t="shared" si="12"/>
        <v>5649.3304919504935</v>
      </c>
    </row>
    <row r="46" spans="2:13" ht="15.75" customHeight="1" x14ac:dyDescent="0.25">
      <c r="B46" s="13" t="s">
        <v>94</v>
      </c>
      <c r="C46" s="13"/>
      <c r="D46" s="13"/>
      <c r="E46" s="13"/>
      <c r="F46" s="13"/>
      <c r="G46" s="13"/>
      <c r="I46" s="18"/>
      <c r="J46" s="18"/>
      <c r="K46" s="18"/>
      <c r="L46" s="18"/>
      <c r="M46" s="18"/>
    </row>
    <row r="47" spans="2:13" ht="15.75" customHeight="1" x14ac:dyDescent="0.25">
      <c r="B47" s="5" t="s">
        <v>95</v>
      </c>
      <c r="C47" s="5">
        <v>32.729999999999997</v>
      </c>
      <c r="D47" s="5">
        <v>31.59</v>
      </c>
      <c r="E47" s="5">
        <v>42.83</v>
      </c>
      <c r="F47" s="5">
        <v>56.95</v>
      </c>
      <c r="G47" s="5">
        <v>38.25</v>
      </c>
      <c r="I47" s="23">
        <f>I35/Assumptions!I$28</f>
        <v>43.431693225682011</v>
      </c>
      <c r="J47" s="23">
        <f>J35/Assumptions!J$28</f>
        <v>46.887679364784852</v>
      </c>
      <c r="K47" s="23">
        <f>K35/Assumptions!K$28</f>
        <v>50.587950154672939</v>
      </c>
      <c r="L47" s="23">
        <f>L35/Assumptions!L$28</f>
        <v>54.551963863899203</v>
      </c>
      <c r="M47" s="23">
        <f>M35/Assumptions!M$28</f>
        <v>58.21896571406446</v>
      </c>
    </row>
    <row r="48" spans="2:13" ht="15.75" customHeight="1" x14ac:dyDescent="0.25">
      <c r="B48" s="5" t="s">
        <v>96</v>
      </c>
      <c r="C48" s="5"/>
      <c r="D48" s="5">
        <v>31.59</v>
      </c>
      <c r="E48" s="5">
        <v>42.82</v>
      </c>
      <c r="F48" s="5">
        <v>56.94</v>
      </c>
      <c r="G48" s="5">
        <v>38.25</v>
      </c>
      <c r="I48" s="24">
        <f t="shared" ref="I48:M48" si="13">I47</f>
        <v>43.431693225682011</v>
      </c>
      <c r="J48" s="24">
        <f t="shared" si="13"/>
        <v>46.887679364784852</v>
      </c>
      <c r="K48" s="24">
        <f t="shared" si="13"/>
        <v>50.587950154672939</v>
      </c>
      <c r="L48" s="24">
        <f t="shared" si="13"/>
        <v>54.551963863899203</v>
      </c>
      <c r="M48" s="24">
        <f t="shared" si="13"/>
        <v>58.21896571406446</v>
      </c>
    </row>
  </sheetData>
  <mergeCells count="2">
    <mergeCell ref="I3:M3"/>
    <mergeCell ref="B1:M1"/>
  </mergeCells>
  <dataValidations count="13">
    <dataValidation allowBlank="1" showInputMessage="1" showErrorMessage="1" promptTitle="Notes Reference" prompt="Note 22A" sqref="B6 B7 B8" xr:uid="{EA65A163-2FB0-46B9-9B0B-99C854897DFE}"/>
    <dataValidation allowBlank="1" showInputMessage="1" showErrorMessage="1" promptTitle="Notes Reference" prompt="Note 23" sqref="B9" xr:uid="{95DB5263-CC9A-4CBD-8F5C-6C2FB5342508}"/>
    <dataValidation allowBlank="1" showInputMessage="1" showErrorMessage="1" promptTitle="Notes Reference" prompt="Note 24A" sqref="B12" xr:uid="{F2738B48-094D-460D-A585-1533C6A4C2B2}"/>
    <dataValidation allowBlank="1" showInputMessage="1" showErrorMessage="1" promptTitle="Notes Reference" prompt="Note 24B" sqref="B13" xr:uid="{90A9F373-5285-4DA4-915D-C62B70E4AD8C}"/>
    <dataValidation allowBlank="1" showInputMessage="1" showErrorMessage="1" promptTitle="Notes Reference" prompt="Note 24C" sqref="B14" xr:uid="{69BA54D2-8705-4AAF-B22A-49A8343FACF1}"/>
    <dataValidation allowBlank="1" showInputMessage="1" showErrorMessage="1" promptTitle="Notes Reference" prompt="Note 25" sqref="B15" xr:uid="{992030CC-EA4C-4269-A16A-DC637A3E7712}"/>
    <dataValidation allowBlank="1" showInputMessage="1" showErrorMessage="1" promptTitle="Notes Reference" prompt="Note 26" sqref="B16" xr:uid="{2A45E4B0-A704-449D-9EC0-6C43D84A604F}"/>
    <dataValidation allowBlank="1" showInputMessage="1" showErrorMessage="1" promptTitle="Notes Reference" prompt="Note 27" sqref="B19" xr:uid="{D08AC6F8-D07E-4060-8D94-A78B0E01BB63}"/>
    <dataValidation allowBlank="1" showInputMessage="1" showErrorMessage="1" promptTitle="Notes Reference" prompt="Note 28" sqref="B20" xr:uid="{CE895077-E1B2-4831-B842-89534BBEE91E}"/>
    <dataValidation allowBlank="1" showInputMessage="1" showErrorMessage="1" promptTitle="Notes Reference" prompt="Note 36" sqref="B22" xr:uid="{57CE16A4-F5E3-4499-A2C3-8639E043D289}"/>
    <dataValidation allowBlank="1" showInputMessage="1" showErrorMessage="1" promptTitle="Notes Reference" prompt="Note 39" sqref="B24" xr:uid="{2677F167-9E5B-424D-994F-90931D874BE3}"/>
    <dataValidation allowBlank="1" showInputMessage="1" showErrorMessage="1" promptTitle="Notes Reference" prompt="Note 9" sqref="B26" xr:uid="{3124D8F7-FE86-4FC3-B153-4E5467463965}"/>
    <dataValidation allowBlank="1" showInputMessage="1" showErrorMessage="1" promptTitle="Notes Reference" prompt="Note 30" sqref="B46" xr:uid="{7627967F-A3E5-47AA-9712-BC3AAE2E68B2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2FC6-B4C7-4367-B49B-E545A4EE2A8A}">
  <sheetPr>
    <tabColor theme="3" tint="-0.249977111117893"/>
  </sheetPr>
  <dimension ref="B1:M77"/>
  <sheetViews>
    <sheetView showGridLines="0" zoomScale="88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B1" sqref="B1:M1"/>
    </sheetView>
  </sheetViews>
  <sheetFormatPr defaultRowHeight="15.75" customHeight="1" x14ac:dyDescent="0.25"/>
  <cols>
    <col min="1" max="1" width="3.21875" style="2" customWidth="1"/>
    <col min="2" max="2" width="69.77734375" style="2" bestFit="1" customWidth="1"/>
    <col min="3" max="7" width="12.33203125" style="2" customWidth="1"/>
    <col min="8" max="8" width="5.77734375" customWidth="1"/>
    <col min="9" max="13" width="13.33203125" style="2" customWidth="1"/>
    <col min="14" max="16384" width="8.88671875" style="2"/>
  </cols>
  <sheetData>
    <row r="1" spans="2:13" ht="21" x14ac:dyDescent="0.25">
      <c r="B1" s="327" t="s">
        <v>99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2:13" ht="15.75" customHeight="1" x14ac:dyDescent="0.25">
      <c r="B2" s="3" t="s">
        <v>171</v>
      </c>
      <c r="H2" s="2"/>
    </row>
    <row r="3" spans="2:13" ht="15.75" customHeight="1" x14ac:dyDescent="0.25">
      <c r="C3" s="4" t="s">
        <v>58</v>
      </c>
      <c r="D3" s="4"/>
      <c r="E3" s="4"/>
      <c r="F3" s="4"/>
      <c r="G3" s="4"/>
      <c r="H3" s="4"/>
      <c r="I3" s="325" t="s">
        <v>175</v>
      </c>
      <c r="J3" s="325"/>
      <c r="K3" s="325"/>
      <c r="L3" s="325"/>
      <c r="M3" s="325"/>
    </row>
    <row r="4" spans="2:13" ht="15.75" customHeight="1" thickBot="1" x14ac:dyDescent="0.3"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I4" s="42" t="s">
        <v>176</v>
      </c>
      <c r="J4" s="42" t="s">
        <v>177</v>
      </c>
      <c r="K4" s="42" t="s">
        <v>178</v>
      </c>
      <c r="L4" s="42" t="s">
        <v>179</v>
      </c>
      <c r="M4" s="42" t="s">
        <v>180</v>
      </c>
    </row>
    <row r="5" spans="2:13" ht="15.75" customHeight="1" x14ac:dyDescent="0.25">
      <c r="B5" s="13" t="s">
        <v>100</v>
      </c>
      <c r="C5" s="13"/>
      <c r="D5" s="13"/>
      <c r="E5" s="13"/>
      <c r="F5" s="13"/>
      <c r="G5" s="13"/>
      <c r="I5" s="16"/>
      <c r="J5" s="16"/>
      <c r="K5" s="16"/>
      <c r="L5" s="16"/>
      <c r="M5" s="16"/>
    </row>
    <row r="6" spans="2:13" ht="15.75" customHeight="1" x14ac:dyDescent="0.25">
      <c r="B6" s="5" t="s">
        <v>101</v>
      </c>
      <c r="C6" s="5">
        <v>4304.3500000000004</v>
      </c>
      <c r="D6" s="5">
        <v>4187.72</v>
      </c>
      <c r="E6" s="5">
        <v>5688.83</v>
      </c>
      <c r="F6" s="5">
        <v>7347.77</v>
      </c>
      <c r="G6" s="5">
        <v>5103.07</v>
      </c>
      <c r="I6" s="21">
        <f>'Income Statement &amp; Forecast'!I25</f>
        <v>5695.1810882</v>
      </c>
      <c r="J6" s="21">
        <f>'Income Statement &amp; Forecast'!J25</f>
        <v>6148.3632102560023</v>
      </c>
      <c r="K6" s="21">
        <f>'Income Statement &amp; Forecast'!K25</f>
        <v>6633.5782838264749</v>
      </c>
      <c r="L6" s="21">
        <f>'Income Statement &amp; Forecast'!L25</f>
        <v>7153.3778641200988</v>
      </c>
      <c r="M6" s="21">
        <f>'Income Statement &amp; Forecast'!M25</f>
        <v>7634.2303945276935</v>
      </c>
    </row>
    <row r="7" spans="2:13" ht="15.75" customHeight="1" x14ac:dyDescent="0.25">
      <c r="B7" s="19" t="s">
        <v>102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</row>
    <row r="8" spans="2:13" ht="15.75" customHeight="1" x14ac:dyDescent="0.25">
      <c r="B8" s="7" t="s">
        <v>103</v>
      </c>
      <c r="I8" s="22"/>
      <c r="J8" s="22"/>
      <c r="K8" s="22"/>
      <c r="L8" s="22"/>
      <c r="M8" s="22"/>
    </row>
    <row r="9" spans="2:13" ht="15.75" customHeight="1" x14ac:dyDescent="0.25">
      <c r="B9" s="19" t="s">
        <v>104</v>
      </c>
      <c r="C9" s="2">
        <v>791.27</v>
      </c>
      <c r="D9" s="2">
        <v>816.36</v>
      </c>
      <c r="E9" s="2">
        <v>858.02</v>
      </c>
      <c r="F9" s="2">
        <v>853</v>
      </c>
      <c r="G9" s="2">
        <v>1026.3399999999999</v>
      </c>
      <c r="I9" s="21">
        <f>'Income Statement &amp; Forecast'!I20</f>
        <v>1108.4472000000001</v>
      </c>
      <c r="J9" s="21">
        <f>'Income Statement &amp; Forecast'!J20</f>
        <v>1197.1229760000001</v>
      </c>
      <c r="K9" s="21">
        <f>'Income Statement &amp; Forecast'!K20</f>
        <v>1292.8928140800001</v>
      </c>
      <c r="L9" s="21">
        <f>'Income Statement &amp; Forecast'!L20</f>
        <v>1396.3242392064003</v>
      </c>
      <c r="M9" s="21">
        <f>'Income Statement &amp; Forecast'!M20</f>
        <v>1508.0301783429124</v>
      </c>
    </row>
    <row r="10" spans="2:13" ht="15.75" customHeight="1" x14ac:dyDescent="0.25">
      <c r="B10" s="19" t="s">
        <v>105</v>
      </c>
      <c r="C10" s="2">
        <v>-3.2</v>
      </c>
      <c r="D10" s="2">
        <v>-44.36</v>
      </c>
      <c r="E10" s="2">
        <v>-11.72</v>
      </c>
      <c r="F10" s="2">
        <v>-2.08</v>
      </c>
      <c r="G10" s="2">
        <v>-3.37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</row>
    <row r="11" spans="2:13" ht="15.75" customHeight="1" x14ac:dyDescent="0.25">
      <c r="B11" s="19" t="s">
        <v>106</v>
      </c>
      <c r="D11" s="2">
        <v>-4.2699999999999996</v>
      </c>
      <c r="E11" s="2">
        <v>-2.96</v>
      </c>
      <c r="F11" s="2">
        <v>-5.5</v>
      </c>
      <c r="G11" s="2">
        <v>-2.0699999999999998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</row>
    <row r="12" spans="2:13" ht="15.75" customHeight="1" x14ac:dyDescent="0.25">
      <c r="B12" s="19" t="s">
        <v>107</v>
      </c>
      <c r="C12" s="2">
        <v>91.63</v>
      </c>
      <c r="D12" s="2">
        <v>95.41</v>
      </c>
      <c r="E12" s="2">
        <v>144.44999999999999</v>
      </c>
      <c r="F12" s="2">
        <v>205.17</v>
      </c>
      <c r="G12" s="2">
        <v>227.02</v>
      </c>
      <c r="I12" s="21">
        <f>'Income Statement &amp; Forecast'!I19</f>
        <v>233.60972179999996</v>
      </c>
      <c r="J12" s="21">
        <f>'Income Statement &amp; Forecast'!J19</f>
        <v>252.29849954400004</v>
      </c>
      <c r="K12" s="21">
        <f>'Income Statement &amp; Forecast'!K19</f>
        <v>272.48237950752002</v>
      </c>
      <c r="L12" s="21">
        <f>'Income Statement &amp; Forecast'!L19</f>
        <v>294.28096986812159</v>
      </c>
      <c r="M12" s="21">
        <f>'Income Statement &amp; Forecast'!M19</f>
        <v>314.88063775889015</v>
      </c>
    </row>
    <row r="13" spans="2:13" ht="15.75" customHeight="1" x14ac:dyDescent="0.25">
      <c r="B13" s="19" t="s">
        <v>108</v>
      </c>
      <c r="C13" s="2">
        <v>33.43</v>
      </c>
      <c r="D13" s="2">
        <v>57.56</v>
      </c>
      <c r="E13" s="2">
        <v>63.91</v>
      </c>
      <c r="F13" s="2">
        <v>116.64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</row>
    <row r="14" spans="2:13" ht="15.75" customHeight="1" x14ac:dyDescent="0.25">
      <c r="B14" s="19" t="s">
        <v>109</v>
      </c>
      <c r="G14" s="2">
        <v>245.18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</row>
    <row r="15" spans="2:13" ht="15.75" customHeight="1" x14ac:dyDescent="0.25">
      <c r="B15" s="19" t="s">
        <v>110</v>
      </c>
      <c r="C15" s="2">
        <v>3.42</v>
      </c>
      <c r="D15" s="2">
        <v>2.15</v>
      </c>
      <c r="E15" s="2">
        <v>3.44</v>
      </c>
      <c r="F15" s="2">
        <v>9.1999999999999993</v>
      </c>
      <c r="G15" s="2">
        <v>6.06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</row>
    <row r="16" spans="2:13" ht="15.75" customHeight="1" x14ac:dyDescent="0.25">
      <c r="B16" s="19" t="s">
        <v>111</v>
      </c>
      <c r="C16" s="2">
        <v>-67.319999999999993</v>
      </c>
      <c r="D16" s="2">
        <v>-92.72</v>
      </c>
      <c r="E16" s="2">
        <v>-120.8</v>
      </c>
      <c r="F16" s="2">
        <v>-169.93</v>
      </c>
      <c r="G16" s="2">
        <v>-179.84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</row>
    <row r="17" spans="2:13" ht="15.75" customHeight="1" x14ac:dyDescent="0.25">
      <c r="B17" s="19" t="s">
        <v>112</v>
      </c>
      <c r="C17" s="2">
        <v>-7.81</v>
      </c>
      <c r="D17" s="2">
        <v>-15.16</v>
      </c>
      <c r="E17" s="2">
        <v>-13.48</v>
      </c>
      <c r="F17" s="2">
        <v>-20.16</v>
      </c>
      <c r="G17" s="2">
        <v>-20.64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</row>
    <row r="18" spans="2:13" ht="15.75" customHeight="1" x14ac:dyDescent="0.25">
      <c r="B18" s="19" t="s">
        <v>76</v>
      </c>
      <c r="C18" s="2">
        <v>-28.6</v>
      </c>
      <c r="D18" s="2">
        <v>-31.57</v>
      </c>
      <c r="E18" s="2">
        <v>-93.85</v>
      </c>
      <c r="F18" s="2">
        <v>-133</v>
      </c>
      <c r="G18" s="2">
        <v>-140.71</v>
      </c>
      <c r="I18" s="21">
        <f>-'Income Statement &amp; Forecast'!I22</f>
        <v>-147.74550000000002</v>
      </c>
      <c r="J18" s="21">
        <f>-'Income Statement &amp; Forecast'!J22</f>
        <v>-155.13277500000004</v>
      </c>
      <c r="K18" s="21">
        <f>-'Income Statement &amp; Forecast'!K22</f>
        <v>-162.88941375000005</v>
      </c>
      <c r="L18" s="21">
        <f>-'Income Statement &amp; Forecast'!L22</f>
        <v>-171.03388443750006</v>
      </c>
      <c r="M18" s="21">
        <f>-'Income Statement &amp; Forecast'!M22</f>
        <v>-179.58557865937507</v>
      </c>
    </row>
    <row r="19" spans="2:13" ht="15.75" customHeight="1" x14ac:dyDescent="0.25">
      <c r="B19" s="19" t="s">
        <v>113</v>
      </c>
      <c r="D19" s="2">
        <v>13.47</v>
      </c>
      <c r="E19" s="2">
        <v>24.66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</row>
    <row r="20" spans="2:13" ht="15.75" customHeight="1" x14ac:dyDescent="0.25">
      <c r="B20" s="19" t="s">
        <v>114</v>
      </c>
      <c r="G20" s="2">
        <v>223.25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</row>
    <row r="21" spans="2:13" ht="15.75" customHeight="1" x14ac:dyDescent="0.25">
      <c r="B21" s="19" t="s">
        <v>115</v>
      </c>
      <c r="C21" s="2">
        <v>-18.329999999999998</v>
      </c>
      <c r="D21" s="2">
        <v>-76.09</v>
      </c>
      <c r="E21" s="2">
        <v>-120.61</v>
      </c>
      <c r="F21" s="2">
        <v>-229.63</v>
      </c>
      <c r="G21" s="2">
        <v>-182.43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</row>
    <row r="22" spans="2:13" ht="15.75" customHeight="1" x14ac:dyDescent="0.25">
      <c r="B22" s="19" t="s">
        <v>116</v>
      </c>
      <c r="E22" s="2">
        <v>28.85</v>
      </c>
      <c r="F22" s="2">
        <v>-63.68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</row>
    <row r="23" spans="2:13" ht="15.75" customHeight="1" x14ac:dyDescent="0.25">
      <c r="B23" s="19" t="s">
        <v>117</v>
      </c>
      <c r="C23" s="2">
        <v>-22.44</v>
      </c>
      <c r="G23" s="2">
        <v>-18.29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</row>
    <row r="24" spans="2:13" ht="15.75" customHeight="1" x14ac:dyDescent="0.25">
      <c r="B24" s="19" t="s">
        <v>118</v>
      </c>
      <c r="F24" s="2">
        <v>-33.96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</row>
    <row r="25" spans="2:13" ht="15.75" customHeight="1" x14ac:dyDescent="0.25">
      <c r="B25" s="19" t="s">
        <v>119</v>
      </c>
      <c r="G25" s="2">
        <v>83.71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</row>
    <row r="26" spans="2:13" ht="15.75" customHeight="1" x14ac:dyDescent="0.25">
      <c r="B26" s="19" t="s">
        <v>120</v>
      </c>
      <c r="D26" s="2">
        <v>10.94</v>
      </c>
      <c r="E26" s="2">
        <v>13.38</v>
      </c>
      <c r="F26" s="2">
        <v>21.84</v>
      </c>
      <c r="G26" s="2">
        <v>21.25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</row>
    <row r="27" spans="2:13" ht="15.75" customHeight="1" x14ac:dyDescent="0.25">
      <c r="B27" s="19" t="s">
        <v>121</v>
      </c>
      <c r="D27" s="2">
        <v>53.73</v>
      </c>
      <c r="E27" s="2">
        <v>-27.58</v>
      </c>
      <c r="F27" s="2">
        <v>-10.9</v>
      </c>
      <c r="G27" s="2">
        <v>-1.78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</row>
    <row r="28" spans="2:13" ht="15.75" customHeight="1" x14ac:dyDescent="0.25">
      <c r="B28" s="19" t="s">
        <v>122</v>
      </c>
      <c r="C28" s="2">
        <v>-2.2799999999999998</v>
      </c>
      <c r="D28" s="2">
        <v>-1.76</v>
      </c>
      <c r="E28" s="2">
        <v>-1.54</v>
      </c>
      <c r="F28" s="2">
        <v>-5.29</v>
      </c>
      <c r="G28" s="2">
        <v>-4.6900000000000004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</row>
    <row r="29" spans="2:13" ht="15.75" customHeight="1" x14ac:dyDescent="0.25">
      <c r="B29" s="19" t="s">
        <v>123</v>
      </c>
      <c r="C29" s="2">
        <v>-12.31</v>
      </c>
      <c r="D29" s="2">
        <v>57.6</v>
      </c>
      <c r="E29" s="2">
        <v>21.94</v>
      </c>
      <c r="F29" s="2">
        <v>8</v>
      </c>
      <c r="G29" s="2">
        <v>-11.06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</row>
    <row r="30" spans="2:13" ht="15.75" customHeight="1" x14ac:dyDescent="0.25">
      <c r="B30" s="19" t="s">
        <v>124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</row>
    <row r="31" spans="2:13" ht="15.75" customHeight="1" x14ac:dyDescent="0.25">
      <c r="B31" s="19" t="s">
        <v>125</v>
      </c>
      <c r="C31" s="2">
        <v>-92.28</v>
      </c>
      <c r="D31" s="2">
        <v>-71.61</v>
      </c>
      <c r="E31" s="2">
        <v>4.88</v>
      </c>
      <c r="F31" s="2">
        <v>41.11</v>
      </c>
      <c r="G31" s="2">
        <v>18.66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</row>
    <row r="32" spans="2:13" ht="15.75" customHeight="1" x14ac:dyDescent="0.25">
      <c r="B32" s="5" t="s">
        <v>126</v>
      </c>
      <c r="C32" s="5">
        <v>4969.53</v>
      </c>
      <c r="D32" s="5">
        <v>4957.3999999999996</v>
      </c>
      <c r="E32" s="5">
        <v>6459.82</v>
      </c>
      <c r="F32" s="5">
        <v>7928.6</v>
      </c>
      <c r="G32" s="5">
        <v>6389.66</v>
      </c>
      <c r="I32" s="23">
        <f t="shared" ref="I32:M32" si="0">I6+I9+I12+I18</f>
        <v>6889.4925099999991</v>
      </c>
      <c r="J32" s="23">
        <f t="shared" si="0"/>
        <v>7442.651910800003</v>
      </c>
      <c r="K32" s="23">
        <f t="shared" si="0"/>
        <v>8036.0640636639955</v>
      </c>
      <c r="L32" s="23">
        <f t="shared" si="0"/>
        <v>8672.9491887571203</v>
      </c>
      <c r="M32" s="23">
        <f t="shared" si="0"/>
        <v>9277.5556319701209</v>
      </c>
    </row>
    <row r="33" spans="2:13" ht="15.75" customHeight="1" x14ac:dyDescent="0.25">
      <c r="B33" s="7" t="s">
        <v>127</v>
      </c>
      <c r="I33" s="22"/>
      <c r="J33" s="22"/>
      <c r="K33" s="22"/>
      <c r="L33" s="22"/>
      <c r="M33" s="22"/>
    </row>
    <row r="34" spans="2:13" ht="15.75" customHeight="1" x14ac:dyDescent="0.25">
      <c r="B34" s="19" t="s">
        <v>128</v>
      </c>
      <c r="C34" s="2">
        <v>-1341.51</v>
      </c>
      <c r="D34" s="2">
        <v>-1326.48</v>
      </c>
      <c r="E34" s="2">
        <v>-833.94</v>
      </c>
      <c r="F34" s="2">
        <v>-361.89</v>
      </c>
      <c r="G34" s="2">
        <v>281.8</v>
      </c>
      <c r="I34" s="21">
        <f>-('Balance Sheet &amp; Forecast'!I26-'Balance Sheet &amp; Forecast'!G26)</f>
        <v>-650.11509589041179</v>
      </c>
      <c r="J34" s="21">
        <f>-('Balance Sheet &amp; Forecast'!J26-'Balance Sheet &amp; Forecast'!I26)</f>
        <v>-397.10120767123408</v>
      </c>
      <c r="K34" s="21">
        <f>-('Balance Sheet &amp; Forecast'!K26-'Balance Sheet &amp; Forecast'!J26)</f>
        <v>-428.86930428493179</v>
      </c>
      <c r="L34" s="21">
        <f>-('Balance Sheet &amp; Forecast'!L26-'Balance Sheet &amp; Forecast'!K26)</f>
        <v>-463.17884862772644</v>
      </c>
      <c r="M34" s="21">
        <f>-('Balance Sheet &amp; Forecast'!M26-'Balance Sheet &amp; Forecast'!L26)</f>
        <v>-437.7040119532021</v>
      </c>
    </row>
    <row r="35" spans="2:13" ht="15.75" customHeight="1" x14ac:dyDescent="0.25">
      <c r="B35" s="19" t="s">
        <v>129</v>
      </c>
      <c r="D35" s="2">
        <v>-130.62</v>
      </c>
      <c r="E35" s="2">
        <v>156.75</v>
      </c>
      <c r="F35" s="2">
        <v>23.12</v>
      </c>
      <c r="G35" s="2">
        <v>6.71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</row>
    <row r="36" spans="2:13" ht="15.75" customHeight="1" x14ac:dyDescent="0.25">
      <c r="B36" s="19" t="s">
        <v>130</v>
      </c>
      <c r="C36" s="2">
        <v>-408.79</v>
      </c>
      <c r="D36" s="2">
        <v>-2354.38</v>
      </c>
      <c r="E36" s="2">
        <v>-55.98</v>
      </c>
      <c r="F36" s="2">
        <v>314.94</v>
      </c>
      <c r="G36" s="2">
        <v>-805.34</v>
      </c>
      <c r="I36" s="21">
        <f>-('Balance Sheet &amp; Forecast'!I23-'Balance Sheet &amp; Forecast'!G23)</f>
        <v>-602.28351643835686</v>
      </c>
      <c r="J36" s="21">
        <f>-('Balance Sheet &amp; Forecast'!J23-'Balance Sheet &amp; Forecast'!I23)</f>
        <v>-585.72428131506877</v>
      </c>
      <c r="K36" s="21">
        <f>-('Balance Sheet &amp; Forecast'!K23-'Balance Sheet &amp; Forecast'!J23)</f>
        <v>-632.58222382027452</v>
      </c>
      <c r="L36" s="21">
        <f>-('Balance Sheet &amp; Forecast'!L23-'Balance Sheet &amp; Forecast'!K23)</f>
        <v>-683.18880172589706</v>
      </c>
      <c r="M36" s="21">
        <f>-('Balance Sheet &amp; Forecast'!M23-'Balance Sheet &amp; Forecast'!L23)</f>
        <v>-645.61341763097334</v>
      </c>
    </row>
    <row r="37" spans="2:13" ht="15.75" customHeight="1" x14ac:dyDescent="0.25">
      <c r="B37" s="19" t="s">
        <v>131</v>
      </c>
      <c r="D37" s="2">
        <v>-21.21</v>
      </c>
      <c r="E37" s="2">
        <v>-26.71</v>
      </c>
      <c r="F37" s="2">
        <v>-260.89</v>
      </c>
      <c r="G37" s="2">
        <v>1.71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</row>
    <row r="38" spans="2:13" ht="15.75" customHeight="1" x14ac:dyDescent="0.25">
      <c r="B38" s="19" t="s">
        <v>132</v>
      </c>
      <c r="C38" s="2">
        <v>1543.84</v>
      </c>
      <c r="D38" s="2">
        <v>644.02</v>
      </c>
      <c r="E38" s="2">
        <v>-538.97</v>
      </c>
      <c r="F38" s="2">
        <v>268.58</v>
      </c>
      <c r="G38" s="2">
        <v>-160.41</v>
      </c>
      <c r="I38" s="21">
        <f>('Balance Sheet &amp; Forecast'!I56+'Balance Sheet &amp; Forecast'!I57)-('Balance Sheet &amp; Forecast'!G56+'Balance Sheet &amp; Forecast'!G57)</f>
        <v>252.06996920547954</v>
      </c>
      <c r="J38" s="21">
        <f>('Balance Sheet &amp; Forecast'!J56+'Balance Sheet &amp; Forecast'!J57)-('Balance Sheet &amp; Forecast'!I56+'Balance Sheet &amp; Forecast'!I57)</f>
        <v>328.00559753643938</v>
      </c>
      <c r="K38" s="21">
        <f>('Balance Sheet &amp; Forecast'!K56+'Balance Sheet &amp; Forecast'!K57)-('Balance Sheet &amp; Forecast'!J56+'Balance Sheet &amp; Forecast'!J57)</f>
        <v>354.24604533935326</v>
      </c>
      <c r="L38" s="21">
        <f>('Balance Sheet &amp; Forecast'!L56+'Balance Sheet &amp; Forecast'!L57)-('Balance Sheet &amp; Forecast'!K56+'Balance Sheet &amp; Forecast'!K57)</f>
        <v>382.58572896650185</v>
      </c>
      <c r="M38" s="21">
        <f>('Balance Sheet &amp; Forecast'!M56+'Balance Sheet &amp; Forecast'!M57)-('Balance Sheet &amp; Forecast'!L56+'Balance Sheet &amp; Forecast'!L57)</f>
        <v>361.54351387334646</v>
      </c>
    </row>
    <row r="39" spans="2:13" ht="15.75" customHeight="1" x14ac:dyDescent="0.25">
      <c r="B39" s="19" t="s">
        <v>133</v>
      </c>
      <c r="D39" s="2">
        <v>237.19</v>
      </c>
      <c r="E39" s="2">
        <v>441.1</v>
      </c>
      <c r="F39" s="2">
        <v>16.399999999999999</v>
      </c>
      <c r="G39" s="2">
        <v>82.56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</row>
    <row r="40" spans="2:13" ht="15.75" customHeight="1" x14ac:dyDescent="0.25">
      <c r="B40" s="19" t="s">
        <v>134</v>
      </c>
      <c r="D40" s="2">
        <v>156.26</v>
      </c>
      <c r="E40" s="2">
        <v>85.64</v>
      </c>
      <c r="F40" s="2">
        <v>9.7899999999999991</v>
      </c>
      <c r="G40" s="2">
        <v>22.79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</row>
    <row r="41" spans="2:13" ht="15.75" customHeight="1" x14ac:dyDescent="0.25">
      <c r="B41" s="5" t="s">
        <v>135</v>
      </c>
      <c r="C41" s="5">
        <v>4763.07</v>
      </c>
      <c r="D41" s="5">
        <v>2162.1799999999998</v>
      </c>
      <c r="E41" s="5">
        <v>5687.71</v>
      </c>
      <c r="F41" s="5">
        <v>7938.65</v>
      </c>
      <c r="G41" s="5">
        <v>5819.48</v>
      </c>
      <c r="I41" s="23">
        <f t="shared" ref="I41:M41" si="1">I32+SUM(I34:I40)</f>
        <v>5889.16386687671</v>
      </c>
      <c r="J41" s="23">
        <f t="shared" si="1"/>
        <v>6787.8320193501395</v>
      </c>
      <c r="K41" s="23">
        <f t="shared" si="1"/>
        <v>7328.8585808981425</v>
      </c>
      <c r="L41" s="23">
        <f t="shared" si="1"/>
        <v>7909.1672673699986</v>
      </c>
      <c r="M41" s="23">
        <f t="shared" si="1"/>
        <v>8555.781716259291</v>
      </c>
    </row>
    <row r="42" spans="2:13" ht="15.75" customHeight="1" x14ac:dyDescent="0.25">
      <c r="B42" s="19" t="s">
        <v>136</v>
      </c>
      <c r="C42" s="2">
        <v>-1079.72</v>
      </c>
      <c r="D42" s="2">
        <v>-1175.69</v>
      </c>
      <c r="E42" s="2">
        <v>-1494.28</v>
      </c>
      <c r="F42" s="2">
        <v>-1835.05</v>
      </c>
      <c r="G42" s="2">
        <v>-1395.52</v>
      </c>
      <c r="I42" s="21">
        <f>-'Income Statement &amp; Forecast'!I30</f>
        <v>-1480.747082932</v>
      </c>
      <c r="J42" s="21">
        <f>-'Income Statement &amp; Forecast'!J30</f>
        <v>-1598.5744346665606</v>
      </c>
      <c r="K42" s="21">
        <f>-'Income Statement &amp; Forecast'!K30</f>
        <v>-1724.7303537948835</v>
      </c>
      <c r="L42" s="21">
        <f>-'Income Statement &amp; Forecast'!L30</f>
        <v>-1859.8782446712257</v>
      </c>
      <c r="M42" s="21">
        <f>-'Income Statement &amp; Forecast'!M30</f>
        <v>-1984.8999025772005</v>
      </c>
    </row>
    <row r="43" spans="2:13" ht="15.75" customHeight="1" thickBot="1" x14ac:dyDescent="0.3">
      <c r="B43" s="9" t="s">
        <v>137</v>
      </c>
      <c r="C43" s="9">
        <v>3683.35</v>
      </c>
      <c r="D43" s="9">
        <v>986.49</v>
      </c>
      <c r="E43" s="9">
        <v>4193.43</v>
      </c>
      <c r="F43" s="9">
        <v>6103.6</v>
      </c>
      <c r="G43" s="9">
        <v>4423.96</v>
      </c>
      <c r="I43" s="24">
        <f t="shared" ref="I43:M43" si="2">I41+I42</f>
        <v>4408.41678394471</v>
      </c>
      <c r="J43" s="24">
        <f t="shared" si="2"/>
        <v>5189.2575846835789</v>
      </c>
      <c r="K43" s="24">
        <f t="shared" si="2"/>
        <v>5604.1282271032587</v>
      </c>
      <c r="L43" s="24">
        <f t="shared" si="2"/>
        <v>6049.2890226987729</v>
      </c>
      <c r="M43" s="24">
        <f t="shared" si="2"/>
        <v>6570.8818136820901</v>
      </c>
    </row>
    <row r="44" spans="2:13" ht="15.75" customHeight="1" thickTop="1" x14ac:dyDescent="0.25">
      <c r="B44" s="13" t="s">
        <v>138</v>
      </c>
      <c r="C44" s="13"/>
      <c r="D44" s="13"/>
      <c r="E44" s="13"/>
      <c r="F44" s="13"/>
      <c r="G44" s="13"/>
      <c r="I44" s="25"/>
      <c r="J44" s="25"/>
      <c r="K44" s="25"/>
      <c r="L44" s="25"/>
      <c r="M44" s="25"/>
    </row>
    <row r="45" spans="2:13" ht="15.75" customHeight="1" x14ac:dyDescent="0.25">
      <c r="B45" s="19" t="s">
        <v>139</v>
      </c>
      <c r="C45" s="2">
        <v>-281.87</v>
      </c>
      <c r="D45" s="2">
        <v>-538.24</v>
      </c>
      <c r="E45" s="2">
        <v>-1273.3699999999999</v>
      </c>
      <c r="F45" s="2">
        <v>-2199.0100000000002</v>
      </c>
      <c r="G45" s="2">
        <v>-1805.32</v>
      </c>
      <c r="I45" s="21">
        <f>-Assumptions!I23*Assumptions!I6</f>
        <v>-2515.7970040000005</v>
      </c>
      <c r="J45" s="21">
        <f>-Assumptions!J23*Assumptions!J6</f>
        <v>-2717.0607643200005</v>
      </c>
      <c r="K45" s="21">
        <f>-Assumptions!K23*Assumptions!K6</f>
        <v>-2515.2219646848007</v>
      </c>
      <c r="L45" s="21">
        <f>-Assumptions!L23*Assumptions!L6</f>
        <v>-2716.439721859585</v>
      </c>
      <c r="M45" s="21">
        <f>-Assumptions!M23*Assumptions!M6</f>
        <v>-2906.5905023897562</v>
      </c>
    </row>
    <row r="46" spans="2:13" ht="15.75" customHeight="1" x14ac:dyDescent="0.25">
      <c r="B46" s="19" t="s">
        <v>140</v>
      </c>
      <c r="C46" s="2">
        <v>27.61</v>
      </c>
      <c r="D46" s="2">
        <v>39.58</v>
      </c>
      <c r="E46" s="2">
        <v>25.92</v>
      </c>
      <c r="F46" s="2">
        <v>5.13</v>
      </c>
      <c r="G46" s="2">
        <v>10.1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</row>
    <row r="47" spans="2:13" ht="15.75" customHeight="1" x14ac:dyDescent="0.25">
      <c r="B47" s="19" t="s">
        <v>141</v>
      </c>
      <c r="C47" s="2">
        <v>-6.84</v>
      </c>
      <c r="D47" s="2">
        <v>-12.46</v>
      </c>
      <c r="E47" s="2">
        <v>-172.24</v>
      </c>
      <c r="F47" s="2">
        <v>-297.07</v>
      </c>
      <c r="G47" s="2">
        <v>-24.75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</row>
    <row r="48" spans="2:13" ht="15.75" customHeight="1" x14ac:dyDescent="0.25">
      <c r="B48" s="19" t="s">
        <v>142</v>
      </c>
      <c r="C48" s="2">
        <v>-0.5</v>
      </c>
      <c r="E48" s="2">
        <v>-146.07</v>
      </c>
      <c r="F48" s="2">
        <v>-212.24</v>
      </c>
      <c r="G48" s="2">
        <v>-0.92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</row>
    <row r="49" spans="2:13" ht="15.75" customHeight="1" x14ac:dyDescent="0.25">
      <c r="B49" s="19" t="s">
        <v>143</v>
      </c>
      <c r="C49" s="2">
        <v>272.32</v>
      </c>
      <c r="D49" s="2">
        <v>146.46</v>
      </c>
      <c r="E49" s="2">
        <v>376.61</v>
      </c>
      <c r="F49" s="2">
        <v>0.5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</row>
    <row r="50" spans="2:13" ht="15.75" customHeight="1" x14ac:dyDescent="0.25">
      <c r="B50" s="19" t="s">
        <v>144</v>
      </c>
      <c r="C50" s="2">
        <v>-139.34</v>
      </c>
      <c r="D50" s="2">
        <v>61.03</v>
      </c>
      <c r="E50" s="2">
        <v>69.430000000000007</v>
      </c>
      <c r="F50" s="2">
        <v>239.99</v>
      </c>
      <c r="G50" s="2">
        <v>420.65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</row>
    <row r="51" spans="2:13" ht="15.75" customHeight="1" x14ac:dyDescent="0.25">
      <c r="B51" s="19" t="s">
        <v>145</v>
      </c>
      <c r="C51" s="2">
        <v>-500.33</v>
      </c>
      <c r="D51" s="2">
        <v>-110.21</v>
      </c>
      <c r="E51" s="2">
        <v>-118.71</v>
      </c>
      <c r="F51" s="2">
        <v>-206.25</v>
      </c>
      <c r="G51" s="2">
        <v>196.8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</row>
    <row r="52" spans="2:13" ht="15.75" customHeight="1" x14ac:dyDescent="0.25">
      <c r="B52" s="19" t="s">
        <v>146</v>
      </c>
      <c r="E52" s="2">
        <v>-179.62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</row>
    <row r="53" spans="2:13" ht="15.75" customHeight="1" x14ac:dyDescent="0.25">
      <c r="B53" s="19" t="s">
        <v>147</v>
      </c>
      <c r="G53" s="2">
        <v>38.29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</row>
    <row r="54" spans="2:13" ht="15.75" customHeight="1" x14ac:dyDescent="0.25">
      <c r="B54" s="19" t="s">
        <v>148</v>
      </c>
      <c r="F54" s="2">
        <v>-75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</row>
    <row r="55" spans="2:13" ht="15.75" customHeight="1" x14ac:dyDescent="0.25">
      <c r="B55" s="19" t="s">
        <v>149</v>
      </c>
      <c r="F55" s="2">
        <v>-37.71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</row>
    <row r="56" spans="2:13" ht="15.75" customHeight="1" x14ac:dyDescent="0.25">
      <c r="B56" s="19" t="s">
        <v>150</v>
      </c>
      <c r="C56" s="2">
        <v>73.349999999999994</v>
      </c>
      <c r="D56" s="2">
        <v>76.989999999999995</v>
      </c>
      <c r="E56" s="2">
        <v>87.15</v>
      </c>
      <c r="F56" s="2">
        <v>135.49</v>
      </c>
      <c r="G56" s="2">
        <v>154.88999999999999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</row>
    <row r="57" spans="2:13" ht="15.75" customHeight="1" x14ac:dyDescent="0.25">
      <c r="B57" s="19" t="s">
        <v>151</v>
      </c>
      <c r="E57" s="2">
        <v>42.78</v>
      </c>
      <c r="F57" s="2">
        <v>108.37</v>
      </c>
      <c r="G57" s="2">
        <v>115.5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</row>
    <row r="58" spans="2:13" ht="15.75" customHeight="1" x14ac:dyDescent="0.25">
      <c r="B58" s="19" t="s">
        <v>152</v>
      </c>
      <c r="C58" s="2">
        <v>7.81</v>
      </c>
      <c r="D58" s="2">
        <v>15.16</v>
      </c>
      <c r="E58" s="2">
        <v>13.48</v>
      </c>
      <c r="F58" s="2">
        <v>20.170000000000002</v>
      </c>
      <c r="G58" s="2">
        <v>20.64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</row>
    <row r="59" spans="2:13" ht="15.75" customHeight="1" thickBot="1" x14ac:dyDescent="0.3">
      <c r="B59" s="9" t="s">
        <v>153</v>
      </c>
      <c r="C59" s="9">
        <v>-547.79</v>
      </c>
      <c r="D59" s="9">
        <v>-321.69</v>
      </c>
      <c r="E59" s="9">
        <v>-1274.6400000000001</v>
      </c>
      <c r="F59" s="9">
        <v>-2517.63</v>
      </c>
      <c r="G59" s="9">
        <v>-874.12</v>
      </c>
      <c r="I59" s="24">
        <f t="shared" ref="I59:M59" si="3">SUM(I45:I58)</f>
        <v>-2515.7970040000005</v>
      </c>
      <c r="J59" s="24">
        <f t="shared" si="3"/>
        <v>-2717.0607643200005</v>
      </c>
      <c r="K59" s="24">
        <f t="shared" si="3"/>
        <v>-2515.2219646848007</v>
      </c>
      <c r="L59" s="24">
        <f t="shared" si="3"/>
        <v>-2716.439721859585</v>
      </c>
      <c r="M59" s="24">
        <f t="shared" si="3"/>
        <v>-2906.5905023897562</v>
      </c>
    </row>
    <row r="60" spans="2:13" ht="15.75" customHeight="1" thickTop="1" x14ac:dyDescent="0.25">
      <c r="B60" s="13" t="s">
        <v>154</v>
      </c>
      <c r="C60" s="13"/>
      <c r="D60" s="13"/>
      <c r="E60" s="13"/>
      <c r="F60" s="13"/>
      <c r="G60" s="13"/>
      <c r="I60" s="25"/>
      <c r="J60" s="25"/>
      <c r="K60" s="25"/>
      <c r="L60" s="25"/>
      <c r="M60" s="25"/>
    </row>
    <row r="61" spans="2:13" ht="15.75" customHeight="1" x14ac:dyDescent="0.25">
      <c r="B61" s="19" t="s">
        <v>155</v>
      </c>
      <c r="C61" s="2">
        <v>2.14</v>
      </c>
      <c r="D61" s="2">
        <v>39.869999999999997</v>
      </c>
      <c r="E61" s="2">
        <v>94</v>
      </c>
      <c r="F61" s="2">
        <v>5.91</v>
      </c>
      <c r="G61" s="2">
        <v>219.84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</row>
    <row r="62" spans="2:13" ht="15.75" customHeight="1" x14ac:dyDescent="0.25">
      <c r="B62" s="19" t="s">
        <v>156</v>
      </c>
      <c r="C62" s="2">
        <v>-14.21</v>
      </c>
      <c r="D62" s="2">
        <v>-7.89</v>
      </c>
      <c r="E62" s="2">
        <v>-15.55</v>
      </c>
      <c r="F62" s="2">
        <v>-14.17</v>
      </c>
      <c r="G62" s="2">
        <v>-21.16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</row>
    <row r="63" spans="2:13" ht="15.75" customHeight="1" x14ac:dyDescent="0.25">
      <c r="B63" s="19" t="s">
        <v>157</v>
      </c>
      <c r="C63" s="2">
        <v>37.78</v>
      </c>
      <c r="D63" s="2">
        <v>292.68</v>
      </c>
      <c r="E63" s="2">
        <v>159.76</v>
      </c>
      <c r="F63" s="2">
        <v>94.98</v>
      </c>
      <c r="G63" s="2">
        <v>-406.41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</row>
    <row r="64" spans="2:13" ht="15.75" customHeight="1" x14ac:dyDescent="0.25">
      <c r="B64" s="19" t="s">
        <v>158</v>
      </c>
      <c r="C64" s="2">
        <v>115.5</v>
      </c>
      <c r="D64" s="2">
        <v>85.35</v>
      </c>
      <c r="E64" s="2">
        <v>-8.9700000000000006</v>
      </c>
      <c r="F64" s="2">
        <v>-83.65</v>
      </c>
      <c r="G64" s="2">
        <v>194.74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</row>
    <row r="65" spans="2:13" ht="15.75" customHeight="1" x14ac:dyDescent="0.25">
      <c r="B65" s="19" t="s">
        <v>159</v>
      </c>
      <c r="F65" s="2">
        <v>40.6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</row>
    <row r="66" spans="2:13" ht="15.75" customHeight="1" x14ac:dyDescent="0.25">
      <c r="B66" s="19" t="s">
        <v>160</v>
      </c>
      <c r="C66" s="2">
        <v>-202.95</v>
      </c>
      <c r="D66" s="2">
        <v>-221.4</v>
      </c>
      <c r="E66" s="2">
        <v>-255.72</v>
      </c>
      <c r="F66" s="2">
        <v>-285.63</v>
      </c>
      <c r="G66" s="2">
        <v>-324.62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</row>
    <row r="67" spans="2:13" ht="15.75" customHeight="1" x14ac:dyDescent="0.25">
      <c r="B67" s="19" t="s">
        <v>161</v>
      </c>
      <c r="D67" s="2">
        <v>-64.91</v>
      </c>
      <c r="G67" s="2">
        <v>-34.65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</row>
    <row r="68" spans="2:13" ht="15.75" customHeight="1" x14ac:dyDescent="0.25">
      <c r="B68" s="19" t="s">
        <v>162</v>
      </c>
      <c r="C68" s="2">
        <v>-89.31</v>
      </c>
      <c r="D68" s="2">
        <v>-93.56</v>
      </c>
      <c r="E68" s="2">
        <v>-141.94999999999999</v>
      </c>
      <c r="F68" s="2">
        <v>-190.57</v>
      </c>
      <c r="G68" s="2">
        <v>-203.19</v>
      </c>
      <c r="I68" s="21">
        <f>-'Income Statement &amp; Forecast'!I19</f>
        <v>-233.60972179999996</v>
      </c>
      <c r="J68" s="21">
        <f>-'Income Statement &amp; Forecast'!J19</f>
        <v>-252.29849954400004</v>
      </c>
      <c r="K68" s="21">
        <f>-'Income Statement &amp; Forecast'!K19</f>
        <v>-272.48237950752002</v>
      </c>
      <c r="L68" s="21">
        <f>-'Income Statement &amp; Forecast'!L19</f>
        <v>-294.28096986812159</v>
      </c>
      <c r="M68" s="21">
        <f>-'Income Statement &amp; Forecast'!M19</f>
        <v>-314.88063775889015</v>
      </c>
    </row>
    <row r="69" spans="2:13" ht="15.75" customHeight="1" x14ac:dyDescent="0.25">
      <c r="B69" s="19" t="s">
        <v>163</v>
      </c>
      <c r="D69" s="2">
        <v>-74.95</v>
      </c>
      <c r="E69" s="2">
        <v>-35.57</v>
      </c>
      <c r="F69" s="2">
        <v>0.91</v>
      </c>
      <c r="G69" s="2">
        <v>-36.92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</row>
    <row r="70" spans="2:13" ht="15.75" customHeight="1" x14ac:dyDescent="0.25">
      <c r="B70" s="19" t="s">
        <v>164</v>
      </c>
      <c r="C70" s="2">
        <v>-499.35</v>
      </c>
      <c r="D70" s="2">
        <v>-1762.8</v>
      </c>
      <c r="E70" s="2">
        <v>-1936.05</v>
      </c>
      <c r="F70" s="2">
        <v>-2550.88</v>
      </c>
      <c r="G70" s="2">
        <v>-3140.21</v>
      </c>
      <c r="I70" s="21">
        <f>-Assumptions!I25*'Income Statement &amp; Forecast'!I31</f>
        <v>-2950.1038036875998</v>
      </c>
      <c r="J70" s="21">
        <f>-Assumptions!J25*'Income Statement &amp; Forecast'!J31</f>
        <v>-3184.852142912609</v>
      </c>
      <c r="K70" s="21">
        <f>-Assumptions!K25*'Income Statement &amp; Forecast'!K31</f>
        <v>-3436.1935510221138</v>
      </c>
      <c r="L70" s="21">
        <f>-Assumptions!L25*'Income Statement &amp; Forecast'!L31</f>
        <v>-3705.4497336142108</v>
      </c>
      <c r="M70" s="21">
        <f>-Assumptions!M25*'Income Statement &amp; Forecast'!M31</f>
        <v>-3954.5313443653454</v>
      </c>
    </row>
    <row r="71" spans="2:13" ht="15.75" customHeight="1" thickBot="1" x14ac:dyDescent="0.3">
      <c r="B71" s="9" t="s">
        <v>165</v>
      </c>
      <c r="C71" s="9">
        <v>-650.4</v>
      </c>
      <c r="D71" s="9">
        <v>-1807.61</v>
      </c>
      <c r="E71" s="9">
        <v>-2140.0500000000002</v>
      </c>
      <c r="F71" s="9">
        <v>-2982.5</v>
      </c>
      <c r="G71" s="9">
        <v>-3752.58</v>
      </c>
      <c r="I71" s="24">
        <f t="shared" ref="I71:M71" si="4">SUM(I61:I70)</f>
        <v>-3183.7135254875998</v>
      </c>
      <c r="J71" s="24">
        <f t="shared" si="4"/>
        <v>-3437.1506424566091</v>
      </c>
      <c r="K71" s="24">
        <f t="shared" si="4"/>
        <v>-3708.6759305296337</v>
      </c>
      <c r="L71" s="24">
        <f t="shared" si="4"/>
        <v>-3999.7307034823325</v>
      </c>
      <c r="M71" s="24">
        <f t="shared" si="4"/>
        <v>-4269.4119821242357</v>
      </c>
    </row>
    <row r="72" spans="2:13" ht="15.75" customHeight="1" thickTop="1" x14ac:dyDescent="0.25">
      <c r="B72" s="13" t="s">
        <v>166</v>
      </c>
      <c r="C72" s="13"/>
      <c r="D72" s="13"/>
      <c r="E72" s="13"/>
      <c r="F72" s="13"/>
      <c r="G72" s="13"/>
      <c r="I72" s="25"/>
      <c r="J72" s="25"/>
      <c r="K72" s="25"/>
      <c r="L72" s="25"/>
      <c r="M72" s="25"/>
    </row>
    <row r="73" spans="2:13" ht="15.75" customHeight="1" thickBot="1" x14ac:dyDescent="0.3">
      <c r="B73" s="9" t="s">
        <v>167</v>
      </c>
      <c r="C73" s="9">
        <v>2485.16</v>
      </c>
      <c r="D73" s="9">
        <v>-1142.81</v>
      </c>
      <c r="E73" s="9">
        <v>778.74</v>
      </c>
      <c r="F73" s="9">
        <v>603.47</v>
      </c>
      <c r="G73" s="9">
        <v>-202.74</v>
      </c>
      <c r="I73" s="23">
        <f t="shared" ref="I73:M73" si="5">I43+I59+I71</f>
        <v>-1291.0937455428902</v>
      </c>
      <c r="J73" s="23">
        <f t="shared" si="5"/>
        <v>-964.95382209303079</v>
      </c>
      <c r="K73" s="23">
        <f t="shared" si="5"/>
        <v>-619.76966811117563</v>
      </c>
      <c r="L73" s="23">
        <f t="shared" si="5"/>
        <v>-666.88140264314461</v>
      </c>
      <c r="M73" s="23">
        <f t="shared" si="5"/>
        <v>-605.12067083190186</v>
      </c>
    </row>
    <row r="74" spans="2:13" ht="15.75" customHeight="1" thickTop="1" x14ac:dyDescent="0.25">
      <c r="B74" s="19" t="s">
        <v>168</v>
      </c>
      <c r="C74" s="2">
        <v>928.75</v>
      </c>
      <c r="D74" s="2">
        <v>3421.16</v>
      </c>
      <c r="E74" s="2">
        <v>2283.29</v>
      </c>
      <c r="F74" s="2">
        <v>3054.33</v>
      </c>
      <c r="G74" s="2">
        <v>3626.95</v>
      </c>
      <c r="I74" s="21">
        <f>G76</f>
        <v>3357.42</v>
      </c>
      <c r="J74" s="21">
        <f t="shared" ref="J74:M74" si="6">I76</f>
        <v>2066.3262544571098</v>
      </c>
      <c r="K74" s="21">
        <f t="shared" si="6"/>
        <v>1101.372432364079</v>
      </c>
      <c r="L74" s="21">
        <f t="shared" si="6"/>
        <v>481.6027642529034</v>
      </c>
      <c r="M74" s="21">
        <f t="shared" si="6"/>
        <v>-185.27863839024121</v>
      </c>
    </row>
    <row r="75" spans="2:13" ht="15.75" customHeight="1" x14ac:dyDescent="0.25">
      <c r="B75" s="19" t="s">
        <v>169</v>
      </c>
      <c r="C75" s="2">
        <v>7.25</v>
      </c>
      <c r="D75" s="2">
        <v>4.9400000000000004</v>
      </c>
      <c r="E75" s="2">
        <v>-7.7</v>
      </c>
      <c r="F75" s="2">
        <v>-30.85</v>
      </c>
      <c r="G75" s="2">
        <v>-66.790000000000006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</row>
    <row r="76" spans="2:13" ht="15.75" customHeight="1" thickBot="1" x14ac:dyDescent="0.3">
      <c r="B76" s="9" t="s">
        <v>170</v>
      </c>
      <c r="C76" s="9">
        <v>3421.16</v>
      </c>
      <c r="D76" s="9">
        <v>2283.29</v>
      </c>
      <c r="E76" s="9">
        <v>3054.33</v>
      </c>
      <c r="F76" s="9">
        <v>3626.95</v>
      </c>
      <c r="G76" s="9">
        <v>3357.42</v>
      </c>
      <c r="I76" s="24">
        <f t="shared" ref="I76:M76" si="7">I74+I73+I75</f>
        <v>2066.3262544571098</v>
      </c>
      <c r="J76" s="24">
        <f t="shared" si="7"/>
        <v>1101.372432364079</v>
      </c>
      <c r="K76" s="24">
        <f t="shared" si="7"/>
        <v>481.6027642529034</v>
      </c>
      <c r="L76" s="24">
        <f t="shared" si="7"/>
        <v>-185.27863839024121</v>
      </c>
      <c r="M76" s="24">
        <f t="shared" si="7"/>
        <v>-790.39930922214307</v>
      </c>
    </row>
    <row r="77" spans="2:13" ht="15.75" customHeight="1" thickTop="1" x14ac:dyDescent="0.25"/>
  </sheetData>
  <mergeCells count="2">
    <mergeCell ref="I3:M3"/>
    <mergeCell ref="B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4C9A-AD87-4D40-8BB0-3DD610FA24AD}">
  <sheetPr>
    <tabColor rgb="FFFFFF00"/>
  </sheetPr>
  <dimension ref="B1:N86"/>
  <sheetViews>
    <sheetView showGridLines="0" zoomScale="69" zoomScaleNormal="71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E30" sqref="E30"/>
    </sheetView>
  </sheetViews>
  <sheetFormatPr defaultRowHeight="15.75" customHeight="1" outlineLevelRow="1" x14ac:dyDescent="0.25"/>
  <cols>
    <col min="1" max="1" width="3.44140625" style="117" customWidth="1"/>
    <col min="2" max="2" width="45.33203125" style="117" customWidth="1"/>
    <col min="3" max="3" width="24.6640625" style="117" bestFit="1" customWidth="1"/>
    <col min="4" max="4" width="13" style="117" bestFit="1" customWidth="1"/>
    <col min="5" max="5" width="12.5546875" style="117" customWidth="1"/>
    <col min="6" max="6" width="13.5546875" style="117" customWidth="1"/>
    <col min="7" max="7" width="13.6640625" style="117" customWidth="1"/>
    <col min="8" max="8" width="11.77734375" style="117" bestFit="1" customWidth="1"/>
    <col min="9" max="13" width="12.5546875" style="117" customWidth="1"/>
    <col min="14" max="14" width="2.21875" style="117" hidden="1" customWidth="1"/>
    <col min="15" max="16384" width="8.88671875" style="117"/>
  </cols>
  <sheetData>
    <row r="1" spans="2:13" ht="32.1" customHeight="1" x14ac:dyDescent="0.25">
      <c r="B1" s="168" t="s">
        <v>265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2:13" ht="21.95" customHeight="1" x14ac:dyDescent="0.25">
      <c r="B2" s="118" t="s">
        <v>279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2:13" ht="12" customHeight="1" thickBot="1" x14ac:dyDescent="0.3">
      <c r="B3" s="119"/>
      <c r="C3" s="159"/>
      <c r="D3" s="159"/>
      <c r="E3" s="159"/>
      <c r="F3" s="159"/>
      <c r="G3" s="159"/>
      <c r="H3" s="159"/>
      <c r="I3" s="160"/>
      <c r="J3" s="160"/>
      <c r="K3" s="160"/>
      <c r="L3" s="160"/>
      <c r="M3" s="159"/>
    </row>
    <row r="4" spans="2:13" ht="15.95" customHeight="1" thickBot="1" x14ac:dyDescent="0.3">
      <c r="B4" s="170" t="s">
        <v>280</v>
      </c>
      <c r="C4" s="171" t="s">
        <v>180</v>
      </c>
      <c r="D4" s="172" t="s">
        <v>286</v>
      </c>
      <c r="E4" s="173" t="s">
        <v>287</v>
      </c>
      <c r="F4" s="174" t="s">
        <v>7</v>
      </c>
      <c r="G4" s="172"/>
      <c r="H4" s="175"/>
      <c r="I4" s="175"/>
      <c r="J4" s="175"/>
      <c r="K4" s="175"/>
      <c r="L4" s="175"/>
      <c r="M4" s="175"/>
    </row>
    <row r="5" spans="2:13" ht="15.95" customHeight="1" x14ac:dyDescent="0.25">
      <c r="B5" s="176"/>
      <c r="C5" s="177"/>
      <c r="D5" s="177"/>
      <c r="E5" s="177"/>
      <c r="F5" s="177"/>
      <c r="G5" s="177"/>
      <c r="H5" s="176"/>
      <c r="I5" s="176"/>
      <c r="J5" s="176"/>
      <c r="K5" s="176"/>
      <c r="L5" s="176"/>
      <c r="M5" s="176"/>
    </row>
    <row r="6" spans="2:13" ht="15.95" customHeight="1" x14ac:dyDescent="0.25">
      <c r="B6" s="178" t="s">
        <v>270</v>
      </c>
      <c r="C6" s="178" t="s">
        <v>240</v>
      </c>
      <c r="D6" s="178" t="s">
        <v>241</v>
      </c>
      <c r="E6" s="179" t="s">
        <v>272</v>
      </c>
      <c r="F6" s="179" t="s">
        <v>282</v>
      </c>
      <c r="G6" s="179" t="s">
        <v>273</v>
      </c>
      <c r="H6" s="177"/>
      <c r="I6" s="177"/>
      <c r="J6" s="177"/>
      <c r="K6" s="177"/>
      <c r="L6" s="177"/>
      <c r="M6" s="177"/>
    </row>
    <row r="7" spans="2:13" ht="15.95" customHeight="1" x14ac:dyDescent="0.25">
      <c r="B7" s="181">
        <f>INDEX('Income Statement &amp; Forecast'!C10:M10,MATCH(C4,'Income Statement &amp; Forecast'!C4:M4,0))</f>
        <v>49243.175039829257</v>
      </c>
      <c r="C7" s="182">
        <f>INDEX('Income Statement &amp; Forecast'!C18:M18,MATCH(C4,'Income Statement &amp; Forecast'!C4:M4,0))</f>
        <v>9277.5556319701209</v>
      </c>
      <c r="D7" s="182">
        <f>C7/B7</f>
        <v>0.18840287256997898</v>
      </c>
      <c r="E7" s="183">
        <f>INDEX('Income Statement &amp; Forecast'!C31:M31,MATCH(C4,'Income Statement &amp; Forecast'!C4:M4,0))</f>
        <v>5649.3304919504935</v>
      </c>
      <c r="F7" s="183">
        <f>E7/INDEX('Balance Sheet &amp; Forecast'!C41:M41,MATCH(C4,'Balance Sheet &amp; Forecast'!C4:M4,0))</f>
        <v>0.20585073219289055</v>
      </c>
      <c r="G7" s="183">
        <f>INDEX('Income Statement &amp; Forecast'!C47:M47,MATCH(C4,'Income Statement &amp; Forecast'!C4:M4,0))</f>
        <v>58.21896571406446</v>
      </c>
      <c r="H7" s="177"/>
      <c r="I7" s="177"/>
      <c r="J7" s="177"/>
      <c r="K7" s="177"/>
      <c r="L7" s="177"/>
      <c r="M7" s="177"/>
    </row>
    <row r="8" spans="2:13" ht="15.95" customHeight="1" x14ac:dyDescent="0.25">
      <c r="B8" s="184" t="s">
        <v>271</v>
      </c>
      <c r="C8" s="184" t="s">
        <v>271</v>
      </c>
      <c r="D8" s="184" t="s">
        <v>281</v>
      </c>
      <c r="E8" s="185" t="s">
        <v>271</v>
      </c>
      <c r="F8" s="185" t="s">
        <v>283</v>
      </c>
      <c r="G8" s="185" t="s">
        <v>274</v>
      </c>
      <c r="H8" s="177"/>
      <c r="I8" s="177"/>
      <c r="J8" s="177"/>
      <c r="K8" s="177"/>
      <c r="L8" s="177"/>
      <c r="M8" s="177"/>
    </row>
    <row r="9" spans="2:13" ht="18" customHeight="1" x14ac:dyDescent="0.25">
      <c r="B9" s="186" cm="1">
        <f t="array" ref="B9">IFERROR(B7/INDEX($C$76:$L$76,$C$72)-1,"")</f>
        <v>0.42823964686787153</v>
      </c>
      <c r="C9" s="187" cm="1">
        <f t="array" ref="C9">IFERROR(C7/INDEX($C$77:$L$77,$C$72)-1,"")</f>
        <v>0.41021575783653019</v>
      </c>
      <c r="D9" s="187" cm="1">
        <f t="array" ref="D9">IFERROR(D7-INDEX($C$78:$L$78,$C$72),"")</f>
        <v>-2.4079666175314818E-3</v>
      </c>
      <c r="E9" s="188" cm="1">
        <f t="array" ref="E9">IFERROR(E7/INDEX($C$79:$L$79,$C$72)-1,"")</f>
        <v>0.52284962758557763</v>
      </c>
      <c r="F9" s="189" cm="1">
        <f t="array" ref="F9">IFERROR(F7-INDEX($C$82:$L$82,$C$72),"")</f>
        <v>2.0911265966922693E-2</v>
      </c>
      <c r="G9" s="189" cm="1">
        <f t="array" ref="G9">IFERROR(G7/INDEX($C$81:$L$81,$C$72)-1,"")</f>
        <v>0.52206446311279642</v>
      </c>
      <c r="H9" s="177"/>
      <c r="I9" s="177"/>
      <c r="J9" s="177"/>
      <c r="K9" s="177"/>
      <c r="L9" s="177"/>
      <c r="M9" s="177"/>
    </row>
    <row r="10" spans="2:13" ht="15.95" customHeight="1" x14ac:dyDescent="0.25">
      <c r="B10" s="177"/>
      <c r="C10" s="190" t="s">
        <v>284</v>
      </c>
      <c r="D10" s="190"/>
      <c r="E10" s="190"/>
      <c r="F10" s="190"/>
      <c r="G10" s="190"/>
      <c r="H10" s="330" t="s">
        <v>285</v>
      </c>
      <c r="I10" s="331"/>
      <c r="J10" s="331"/>
      <c r="K10" s="331"/>
      <c r="L10" s="331"/>
      <c r="M10" s="332"/>
    </row>
    <row r="11" spans="2:13" ht="15.95" customHeight="1" thickBot="1" x14ac:dyDescent="0.3">
      <c r="B11" s="192" t="s">
        <v>2</v>
      </c>
      <c r="C11" s="193" t="str">
        <f>'Income Statement &amp; Forecast'!C4</f>
        <v>31.03.2021</v>
      </c>
      <c r="D11" s="193" t="str">
        <f>'Income Statement &amp; Forecast'!D4</f>
        <v>31.03.2022</v>
      </c>
      <c r="E11" s="193" t="str">
        <f>'Income Statement &amp; Forecast'!E4</f>
        <v>31.03.2023</v>
      </c>
      <c r="F11" s="193" t="str">
        <f>'Income Statement &amp; Forecast'!F4</f>
        <v>31.03.2024</v>
      </c>
      <c r="G11" s="193" t="str">
        <f>'Income Statement &amp; Forecast'!G4</f>
        <v>31.03.2025</v>
      </c>
      <c r="H11" s="194"/>
      <c r="I11" s="193" t="str">
        <f>'Income Statement &amp; Forecast'!I4</f>
        <v>31.03.2026E</v>
      </c>
      <c r="J11" s="193" t="str">
        <f>'Income Statement &amp; Forecast'!J4</f>
        <v>31.03.2027E</v>
      </c>
      <c r="K11" s="193" t="str">
        <f>'Income Statement &amp; Forecast'!K4</f>
        <v>31.03.2028E</v>
      </c>
      <c r="L11" s="193" t="str">
        <f>'Income Statement &amp; Forecast'!L4</f>
        <v>31.03.2029E</v>
      </c>
      <c r="M11" s="193" t="str">
        <f>'Income Statement &amp; Forecast'!M4</f>
        <v>31.03.2030E</v>
      </c>
    </row>
    <row r="12" spans="2:13" ht="15.95" customHeight="1" x14ac:dyDescent="0.25">
      <c r="B12" s="195" t="s">
        <v>238</v>
      </c>
      <c r="C12" s="195"/>
      <c r="D12" s="195"/>
      <c r="E12" s="195"/>
      <c r="F12" s="195"/>
      <c r="G12" s="195"/>
      <c r="H12" s="196"/>
      <c r="I12" s="195"/>
      <c r="J12" s="195"/>
      <c r="K12" s="195"/>
      <c r="L12" s="195"/>
      <c r="M12" s="195"/>
    </row>
    <row r="13" spans="2:13" ht="15.95" customHeight="1" x14ac:dyDescent="0.25">
      <c r="B13" s="197" t="str">
        <f>HYPERLINK("#'Income Statement &amp; Forecast'!B10","Revenue from Operations")</f>
        <v>Revenue from Operations</v>
      </c>
      <c r="C13" s="198">
        <f>Assumptions!C6</f>
        <v>21712.79</v>
      </c>
      <c r="D13" s="198">
        <f>Assumptions!D6</f>
        <v>29101.279999999999</v>
      </c>
      <c r="E13" s="198">
        <f>Assumptions!E6</f>
        <v>34488.590000000004</v>
      </c>
      <c r="F13" s="198">
        <f>Assumptions!F6</f>
        <v>35494.729999999996</v>
      </c>
      <c r="G13" s="198">
        <f>Assumptions!G6</f>
        <v>33905.620000000003</v>
      </c>
      <c r="H13" s="199"/>
      <c r="I13" s="200">
        <f>Assumptions!I6</f>
        <v>35939.957200000004</v>
      </c>
      <c r="J13" s="200">
        <f>Assumptions!J6</f>
        <v>38815.153776000006</v>
      </c>
      <c r="K13" s="200">
        <f>Assumptions!K6</f>
        <v>41920.366078080013</v>
      </c>
      <c r="L13" s="200">
        <f>Assumptions!L6</f>
        <v>45273.995364326416</v>
      </c>
      <c r="M13" s="200">
        <f>Assumptions!M6</f>
        <v>48443.175039829272</v>
      </c>
    </row>
    <row r="14" spans="2:13" ht="15.95" customHeight="1" x14ac:dyDescent="0.25">
      <c r="B14" s="201" t="s">
        <v>239</v>
      </c>
      <c r="C14" s="202"/>
      <c r="D14" s="202">
        <f t="shared" ref="D14:G14" si="0">D13/C13-1</f>
        <v>0.34028284711453471</v>
      </c>
      <c r="E14" s="202">
        <f t="shared" si="0"/>
        <v>0.18512278497715573</v>
      </c>
      <c r="F14" s="202">
        <f t="shared" si="0"/>
        <v>2.9173126532571869E-2</v>
      </c>
      <c r="G14" s="202">
        <f t="shared" si="0"/>
        <v>-4.4770308155604899E-2</v>
      </c>
      <c r="H14" s="177"/>
      <c r="I14" s="203">
        <f>I13/G13-1</f>
        <v>6.0000000000000053E-2</v>
      </c>
      <c r="J14" s="203">
        <f t="shared" ref="J14:M14" si="1">J13/I13-1</f>
        <v>8.0000000000000071E-2</v>
      </c>
      <c r="K14" s="203">
        <f t="shared" si="1"/>
        <v>8.0000000000000071E-2</v>
      </c>
      <c r="L14" s="203">
        <f t="shared" si="1"/>
        <v>8.0000000000000071E-2</v>
      </c>
      <c r="M14" s="203">
        <f t="shared" si="1"/>
        <v>7.0000000000000062E-2</v>
      </c>
    </row>
    <row r="15" spans="2:13" ht="15.95" customHeight="1" x14ac:dyDescent="0.25">
      <c r="B15" s="197" t="str">
        <f>HYPERLINK("#'Income Statement &amp; Forecast'!B18","EBITDA")</f>
        <v>EBITDA</v>
      </c>
      <c r="C15" s="198">
        <f>'Income Statement &amp; Forecast'!C18</f>
        <v>5158.6499999999996</v>
      </c>
      <c r="D15" s="198">
        <f>'Income Statement &amp; Forecast'!D18</f>
        <v>5183.62</v>
      </c>
      <c r="E15" s="198">
        <f>'Income Statement &amp; Forecast'!E18</f>
        <v>6646.32</v>
      </c>
      <c r="F15" s="198">
        <f>'Income Statement &amp; Forecast'!F18</f>
        <v>8272.94</v>
      </c>
      <c r="G15" s="198">
        <f>'Income Statement &amp; Forecast'!G18</f>
        <v>6578.82</v>
      </c>
      <c r="H15" s="204"/>
      <c r="I15" s="200">
        <f>'Income Statement &amp; Forecast'!I18</f>
        <v>6889.49251</v>
      </c>
      <c r="J15" s="200">
        <f>'Income Statement &amp; Forecast'!J18</f>
        <v>7442.651910800003</v>
      </c>
      <c r="K15" s="200">
        <f>'Income Statement &amp; Forecast'!K18</f>
        <v>8036.0640636639946</v>
      </c>
      <c r="L15" s="200">
        <f>'Income Statement &amp; Forecast'!L18</f>
        <v>8672.9491887571203</v>
      </c>
      <c r="M15" s="200">
        <f>'Income Statement &amp; Forecast'!M18</f>
        <v>9277.5556319701209</v>
      </c>
    </row>
    <row r="16" spans="2:13" ht="15.95" customHeight="1" x14ac:dyDescent="0.25">
      <c r="B16" s="201" t="s">
        <v>241</v>
      </c>
      <c r="C16" s="202">
        <f t="shared" ref="C16:G16" si="2">C15/C13</f>
        <v>0.23758577317792876</v>
      </c>
      <c r="D16" s="202">
        <f t="shared" si="2"/>
        <v>0.17812343649488957</v>
      </c>
      <c r="E16" s="202">
        <f t="shared" si="2"/>
        <v>0.19271069069509653</v>
      </c>
      <c r="F16" s="202">
        <f t="shared" si="2"/>
        <v>0.23307516355244853</v>
      </c>
      <c r="G16" s="202">
        <f t="shared" si="2"/>
        <v>0.1940333195499743</v>
      </c>
      <c r="H16" s="180"/>
      <c r="I16" s="203">
        <f t="shared" ref="I16:M16" si="3">I15/I13</f>
        <v>0.19169451069908339</v>
      </c>
      <c r="J16" s="203">
        <f t="shared" si="3"/>
        <v>0.19174603696667322</v>
      </c>
      <c r="K16" s="203">
        <f t="shared" si="3"/>
        <v>0.19169832745964543</v>
      </c>
      <c r="L16" s="203">
        <f t="shared" si="3"/>
        <v>0.19156580105123566</v>
      </c>
      <c r="M16" s="203">
        <f t="shared" si="3"/>
        <v>0.19151419419437826</v>
      </c>
    </row>
    <row r="17" spans="2:13" ht="15.95" customHeight="1" x14ac:dyDescent="0.25">
      <c r="B17" s="205" t="s">
        <v>242</v>
      </c>
      <c r="C17" s="198">
        <f>'Income Statement &amp; Forecast'!C18-'Income Statement &amp; Forecast'!C20</f>
        <v>4367.3799999999992</v>
      </c>
      <c r="D17" s="198">
        <f>'Income Statement &amp; Forecast'!D18-'Income Statement &amp; Forecast'!D20</f>
        <v>4367.26</v>
      </c>
      <c r="E17" s="198">
        <f>'Income Statement &amp; Forecast'!E18-'Income Statement &amp; Forecast'!E20</f>
        <v>5788.2999999999993</v>
      </c>
      <c r="F17" s="198">
        <f>'Income Statement &amp; Forecast'!F18-'Income Statement &amp; Forecast'!F20</f>
        <v>7419.9400000000005</v>
      </c>
      <c r="G17" s="198">
        <f>'Income Statement &amp; Forecast'!G18-'Income Statement &amp; Forecast'!G20</f>
        <v>5552.48</v>
      </c>
      <c r="H17" s="206"/>
      <c r="I17" s="200">
        <f>'Income Statement &amp; Forecast'!I18-'Income Statement &amp; Forecast'!I20</f>
        <v>5781.0453099999995</v>
      </c>
      <c r="J17" s="200">
        <f>'Income Statement &amp; Forecast'!J18-'Income Statement &amp; Forecast'!J20</f>
        <v>6245.5289348000024</v>
      </c>
      <c r="K17" s="200">
        <f>'Income Statement &amp; Forecast'!K18-'Income Statement &amp; Forecast'!K20</f>
        <v>6743.1712495839947</v>
      </c>
      <c r="L17" s="200">
        <f>'Income Statement &amp; Forecast'!L18-'Income Statement &amp; Forecast'!L20</f>
        <v>7276.62494955072</v>
      </c>
      <c r="M17" s="200">
        <f>'Income Statement &amp; Forecast'!M18-'Income Statement &amp; Forecast'!M20</f>
        <v>7769.5254536272087</v>
      </c>
    </row>
    <row r="18" spans="2:13" ht="15.95" customHeight="1" x14ac:dyDescent="0.25">
      <c r="B18" s="201" t="s">
        <v>243</v>
      </c>
      <c r="C18" s="202">
        <f t="shared" ref="C18:G18" si="4">C17/C13</f>
        <v>0.20114319716627846</v>
      </c>
      <c r="D18" s="202">
        <f t="shared" si="4"/>
        <v>0.15007106216633773</v>
      </c>
      <c r="E18" s="202">
        <f t="shared" si="4"/>
        <v>0.16783231787672384</v>
      </c>
      <c r="F18" s="202">
        <f t="shared" si="4"/>
        <v>0.20904342701015055</v>
      </c>
      <c r="G18" s="202">
        <f t="shared" si="4"/>
        <v>0.16376282162072245</v>
      </c>
      <c r="H18" s="180"/>
      <c r="I18" s="203">
        <f t="shared" ref="I18:M18" si="5">I17/I13</f>
        <v>0.16085287129946829</v>
      </c>
      <c r="J18" s="203">
        <f t="shared" si="5"/>
        <v>0.16090439756705813</v>
      </c>
      <c r="K18" s="203">
        <f t="shared" si="5"/>
        <v>0.16085668806003037</v>
      </c>
      <c r="L18" s="203">
        <f t="shared" si="5"/>
        <v>0.1607241616516206</v>
      </c>
      <c r="M18" s="203">
        <f t="shared" si="5"/>
        <v>0.16038431517420604</v>
      </c>
    </row>
    <row r="19" spans="2:13" ht="15.95" customHeight="1" x14ac:dyDescent="0.25">
      <c r="B19" s="207" t="str">
        <f>HYPERLINK("#'Income Statement &amp; Forecast'!B31","Profit After Tax (PAT)")</f>
        <v>Profit After Tax (PAT)</v>
      </c>
      <c r="C19" s="208">
        <f>'Income Statement &amp; Forecast'!C31</f>
        <v>3206.75</v>
      </c>
      <c r="D19" s="208">
        <f>'Income Statement &amp; Forecast'!D31</f>
        <v>3084.81</v>
      </c>
      <c r="E19" s="208">
        <f>'Income Statement &amp; Forecast'!E31</f>
        <v>4195.33</v>
      </c>
      <c r="F19" s="208">
        <f>'Income Statement &amp; Forecast'!F31</f>
        <v>5557.69</v>
      </c>
      <c r="G19" s="208">
        <f>'Income Statement &amp; Forecast'!G31</f>
        <v>3709.71</v>
      </c>
      <c r="H19" s="206"/>
      <c r="I19" s="209">
        <f>'Income Statement &amp; Forecast'!I31</f>
        <v>4214.434005268</v>
      </c>
      <c r="J19" s="209">
        <f>'Income Statement &amp; Forecast'!J31</f>
        <v>4549.7887755894417</v>
      </c>
      <c r="K19" s="209">
        <f>'Income Statement &amp; Forecast'!K31</f>
        <v>4908.8479300315912</v>
      </c>
      <c r="L19" s="209">
        <f>'Income Statement &amp; Forecast'!L31</f>
        <v>5293.4996194488731</v>
      </c>
      <c r="M19" s="209">
        <f>'Income Statement &amp; Forecast'!M31</f>
        <v>5649.3304919504935</v>
      </c>
    </row>
    <row r="20" spans="2:13" ht="15.95" customHeight="1" x14ac:dyDescent="0.25">
      <c r="B20" s="210" t="s">
        <v>244</v>
      </c>
      <c r="C20" s="211">
        <f t="shared" ref="C20:G20" si="6">C19/C13</f>
        <v>0.1476894493982579</v>
      </c>
      <c r="D20" s="211">
        <f t="shared" si="6"/>
        <v>0.1060025538395562</v>
      </c>
      <c r="E20" s="211">
        <f t="shared" si="6"/>
        <v>0.12164399878336572</v>
      </c>
      <c r="F20" s="211">
        <f t="shared" si="6"/>
        <v>0.15657789198565533</v>
      </c>
      <c r="G20" s="211">
        <f t="shared" si="6"/>
        <v>0.10941283480437755</v>
      </c>
      <c r="H20" s="180"/>
      <c r="I20" s="212">
        <f t="shared" ref="I20:M20" si="7">I19/I13</f>
        <v>0.11726318931921265</v>
      </c>
      <c r="J20" s="212">
        <f t="shared" si="7"/>
        <v>0.11721681696396227</v>
      </c>
      <c r="K20" s="212">
        <f t="shared" si="7"/>
        <v>0.11709935740753008</v>
      </c>
      <c r="L20" s="212">
        <f t="shared" si="7"/>
        <v>0.11692141541410941</v>
      </c>
      <c r="M20" s="212">
        <f t="shared" si="7"/>
        <v>0.11661767601536638</v>
      </c>
    </row>
    <row r="21" spans="2:13" ht="15.95" customHeight="1" x14ac:dyDescent="0.25">
      <c r="B21" s="213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</row>
    <row r="22" spans="2:13" ht="15.95" customHeight="1" x14ac:dyDescent="0.25">
      <c r="B22" s="214" t="s">
        <v>245</v>
      </c>
      <c r="C22" s="214"/>
      <c r="D22" s="214"/>
      <c r="E22" s="214"/>
      <c r="F22" s="214"/>
      <c r="G22" s="214"/>
      <c r="H22" s="215"/>
      <c r="I22" s="214"/>
      <c r="J22" s="214"/>
      <c r="K22" s="214"/>
      <c r="L22" s="214"/>
      <c r="M22" s="214"/>
    </row>
    <row r="23" spans="2:13" ht="15.95" customHeight="1" x14ac:dyDescent="0.25">
      <c r="B23" s="207" t="str">
        <f>HYPERLINK("#'Balance Sheet &amp; Forecast'!B34","Total Assets")</f>
        <v>Total Assets</v>
      </c>
      <c r="C23" s="208">
        <f>'Balance Sheet &amp; Forecast'!C34</f>
        <v>20369.62</v>
      </c>
      <c r="D23" s="208">
        <f>'Balance Sheet &amp; Forecast'!D34</f>
        <v>22984.45</v>
      </c>
      <c r="E23" s="208">
        <f>'Balance Sheet &amp; Forecast'!E34</f>
        <v>25798</v>
      </c>
      <c r="F23" s="208">
        <f>'Balance Sheet &amp; Forecast'!F34</f>
        <v>29924.09</v>
      </c>
      <c r="G23" s="208">
        <f>'Balance Sheet &amp; Forecast'!G34</f>
        <v>30371.37</v>
      </c>
      <c r="H23" s="204"/>
      <c r="I23" s="209">
        <f>'Balance Sheet &amp; Forecast'!I34</f>
        <v>31887.77017078588</v>
      </c>
      <c r="J23" s="209">
        <f>'Balance Sheet &amp; Forecast'!J34</f>
        <v>33580.712400999153</v>
      </c>
      <c r="K23" s="209">
        <f>'Balance Sheet &amp; Forecast'!K34</f>
        <v>35407.612825347984</v>
      </c>
      <c r="L23" s="209">
        <f>'Balance Sheet &amp; Forecast'!L34</f>
        <v>37378.248440149138</v>
      </c>
      <c r="M23" s="209">
        <f>'Balance Sheet &amp; Forecast'!M34</f>
        <v>39434.591101607635</v>
      </c>
    </row>
    <row r="24" spans="2:13" ht="15.95" customHeight="1" x14ac:dyDescent="0.25">
      <c r="B24" s="207" t="str">
        <f>HYPERLINK("#'Balance Sheet &amp; Forecast'!B41","Total Equity")</f>
        <v>Total Equity</v>
      </c>
      <c r="C24" s="208">
        <f>'Balance Sheet &amp; Forecast'!C41</f>
        <v>13229.15</v>
      </c>
      <c r="D24" s="208">
        <f>'Balance Sheet &amp; Forecast'!D41</f>
        <v>14199.09</v>
      </c>
      <c r="E24" s="208">
        <f>'Balance Sheet &amp; Forecast'!E41</f>
        <v>16445.89</v>
      </c>
      <c r="F24" s="208">
        <f>'Balance Sheet &amp; Forecast'!F41</f>
        <v>19423.68</v>
      </c>
      <c r="G24" s="208">
        <f>'Balance Sheet &amp; Forecast'!G41</f>
        <v>20059.05</v>
      </c>
      <c r="H24" s="206"/>
      <c r="I24" s="209">
        <f>'Balance Sheet &amp; Forecast'!I41</f>
        <v>21323.380201580396</v>
      </c>
      <c r="J24" s="209">
        <f>'Balance Sheet &amp; Forecast'!J41</f>
        <v>22688.316834257228</v>
      </c>
      <c r="K24" s="209">
        <f>'Balance Sheet &amp; Forecast'!K41</f>
        <v>24160.971213266708</v>
      </c>
      <c r="L24" s="209">
        <f>'Balance Sheet &amp; Forecast'!L41</f>
        <v>25749.02109910137</v>
      </c>
      <c r="M24" s="209">
        <f>'Balance Sheet &amp; Forecast'!M41</f>
        <v>27443.820246686519</v>
      </c>
    </row>
    <row r="25" spans="2:13" ht="15.95" customHeight="1" x14ac:dyDescent="0.25">
      <c r="B25" s="216" t="s">
        <v>246</v>
      </c>
      <c r="C25" s="217">
        <f>'Balance Sheet &amp; Forecast'!C44+'Balance Sheet &amp; Forecast'!C53</f>
        <v>340.22999999999996</v>
      </c>
      <c r="D25" s="217">
        <f>'Balance Sheet &amp; Forecast'!D44+'Balance Sheet &amp; Forecast'!D53</f>
        <v>775.66</v>
      </c>
      <c r="E25" s="217">
        <f>'Balance Sheet &amp; Forecast'!E44+'Balance Sheet &amp; Forecast'!E53</f>
        <v>972.20999999999992</v>
      </c>
      <c r="F25" s="217">
        <f>'Balance Sheet &amp; Forecast'!F44+'Balance Sheet &amp; Forecast'!F53</f>
        <v>1107.1400000000001</v>
      </c>
      <c r="G25" s="217">
        <f>'Balance Sheet &amp; Forecast'!G44+'Balance Sheet &amp; Forecast'!G53</f>
        <v>863.75</v>
      </c>
      <c r="H25" s="180"/>
      <c r="I25" s="218">
        <f>'Balance Sheet &amp; Forecast'!I44+'Balance Sheet &amp; Forecast'!I53</f>
        <v>863.75</v>
      </c>
      <c r="J25" s="218">
        <f>'Balance Sheet &amp; Forecast'!J44+'Balance Sheet &amp; Forecast'!J53</f>
        <v>863.75</v>
      </c>
      <c r="K25" s="218">
        <f>'Balance Sheet &amp; Forecast'!K44+'Balance Sheet &amp; Forecast'!K53</f>
        <v>863.75</v>
      </c>
      <c r="L25" s="218">
        <f>'Balance Sheet &amp; Forecast'!L44+'Balance Sheet &amp; Forecast'!L53</f>
        <v>863.75</v>
      </c>
      <c r="M25" s="218">
        <f>'Balance Sheet &amp; Forecast'!M44+'Balance Sheet &amp; Forecast'!M53</f>
        <v>863.75</v>
      </c>
    </row>
    <row r="26" spans="2:13" ht="15.95" customHeight="1" x14ac:dyDescent="0.25">
      <c r="B26" s="216" t="s">
        <v>27</v>
      </c>
      <c r="C26" s="217">
        <f>'Balance Sheet &amp; Forecast'!C27</f>
        <v>346.39</v>
      </c>
      <c r="D26" s="217">
        <f>'Balance Sheet &amp; Forecast'!D27</f>
        <v>621.72</v>
      </c>
      <c r="E26" s="217">
        <f>'Balance Sheet &amp; Forecast'!E27</f>
        <v>523.1</v>
      </c>
      <c r="F26" s="217">
        <f>'Balance Sheet &amp; Forecast'!F27</f>
        <v>829.34</v>
      </c>
      <c r="G26" s="217">
        <f>'Balance Sheet &amp; Forecast'!G27</f>
        <v>445.28</v>
      </c>
      <c r="H26" s="180"/>
      <c r="I26" s="218">
        <f>'Balance Sheet &amp; Forecast'!I27</f>
        <v>-845.81374554289027</v>
      </c>
      <c r="J26" s="218">
        <f>'Balance Sheet &amp; Forecast'!J27</f>
        <v>-1810.7675676359211</v>
      </c>
      <c r="K26" s="218">
        <f>'Balance Sheet &amp; Forecast'!K27</f>
        <v>-2430.5372357470969</v>
      </c>
      <c r="L26" s="218">
        <f>'Balance Sheet &amp; Forecast'!L27</f>
        <v>-3097.4186383902415</v>
      </c>
      <c r="M26" s="218">
        <f>'Balance Sheet &amp; Forecast'!M27</f>
        <v>-3702.5393092221434</v>
      </c>
    </row>
    <row r="27" spans="2:13" ht="15.95" customHeight="1" x14ac:dyDescent="0.25">
      <c r="B27" s="219" t="s">
        <v>247</v>
      </c>
      <c r="C27" s="208">
        <f t="shared" ref="C27:G27" si="8">C25-C26</f>
        <v>-6.160000000000025</v>
      </c>
      <c r="D27" s="208">
        <f t="shared" si="8"/>
        <v>153.93999999999994</v>
      </c>
      <c r="E27" s="208">
        <f t="shared" si="8"/>
        <v>449.1099999999999</v>
      </c>
      <c r="F27" s="208">
        <f t="shared" si="8"/>
        <v>277.80000000000007</v>
      </c>
      <c r="G27" s="208">
        <f t="shared" si="8"/>
        <v>418.47</v>
      </c>
      <c r="H27" s="199"/>
      <c r="I27" s="209">
        <f t="shared" ref="I27:M27" si="9">I25-I26</f>
        <v>1709.5637455428903</v>
      </c>
      <c r="J27" s="209">
        <f t="shared" si="9"/>
        <v>2674.5175676359213</v>
      </c>
      <c r="K27" s="209">
        <f t="shared" si="9"/>
        <v>3294.2872357470969</v>
      </c>
      <c r="L27" s="209">
        <f t="shared" si="9"/>
        <v>3961.1686383902415</v>
      </c>
      <c r="M27" s="209">
        <f t="shared" si="9"/>
        <v>4566.2893092221439</v>
      </c>
    </row>
    <row r="28" spans="2:13" ht="15.95" customHeight="1" x14ac:dyDescent="0.25">
      <c r="B28" s="201" t="s">
        <v>248</v>
      </c>
      <c r="C28" s="202">
        <f t="shared" ref="C28:G28" si="10">C27/C24</f>
        <v>-4.656383819066248E-4</v>
      </c>
      <c r="D28" s="202">
        <f t="shared" si="10"/>
        <v>1.0841539845159088E-2</v>
      </c>
      <c r="E28" s="202">
        <f t="shared" si="10"/>
        <v>2.7308342692307922E-2</v>
      </c>
      <c r="F28" s="202">
        <f t="shared" si="10"/>
        <v>1.4302130183363815E-2</v>
      </c>
      <c r="G28" s="202">
        <f t="shared" si="10"/>
        <v>2.0861905224823712E-2</v>
      </c>
      <c r="H28" s="177"/>
      <c r="I28" s="203">
        <f t="shared" ref="I28:M28" si="11">I27/I24</f>
        <v>8.0173205626009755E-2</v>
      </c>
      <c r="J28" s="203">
        <f t="shared" si="11"/>
        <v>0.11788082770413585</v>
      </c>
      <c r="K28" s="203">
        <f t="shared" si="11"/>
        <v>0.13634746743699669</v>
      </c>
      <c r="L28" s="203">
        <f t="shared" si="11"/>
        <v>0.15383764000754516</v>
      </c>
      <c r="M28" s="203">
        <f t="shared" si="11"/>
        <v>0.16638679557644542</v>
      </c>
    </row>
    <row r="29" spans="2:13" ht="15.95" customHeight="1" x14ac:dyDescent="0.25">
      <c r="B29" s="177"/>
      <c r="C29" s="177"/>
      <c r="D29" s="177"/>
      <c r="E29" s="177"/>
      <c r="F29" s="177"/>
      <c r="G29" s="177"/>
      <c r="H29" s="211"/>
      <c r="I29" s="177"/>
      <c r="J29" s="177"/>
      <c r="K29" s="177"/>
      <c r="L29" s="177"/>
      <c r="M29" s="177"/>
    </row>
    <row r="30" spans="2:13" ht="15.95" customHeight="1" x14ac:dyDescent="0.25">
      <c r="B30" s="220" t="s">
        <v>249</v>
      </c>
      <c r="C30" s="220"/>
      <c r="D30" s="220"/>
      <c r="E30" s="220"/>
      <c r="F30" s="220"/>
      <c r="G30" s="220"/>
      <c r="H30" s="221"/>
      <c r="I30" s="220"/>
      <c r="J30" s="220"/>
      <c r="K30" s="220"/>
      <c r="L30" s="220"/>
      <c r="M30" s="220"/>
    </row>
    <row r="31" spans="2:13" ht="15.95" customHeight="1" x14ac:dyDescent="0.25">
      <c r="B31" s="207" t="str">
        <f>HYPERLINK("#'Cash Flow Statement &amp; Forecast'!B43","Cash from Operations (CFO)")</f>
        <v>Cash from Operations (CFO)</v>
      </c>
      <c r="C31" s="208">
        <f>'Cash Flow Statement &amp; Forecast'!C43</f>
        <v>3683.35</v>
      </c>
      <c r="D31" s="208">
        <f>'Cash Flow Statement &amp; Forecast'!D43</f>
        <v>986.49</v>
      </c>
      <c r="E31" s="208">
        <f>'Cash Flow Statement &amp; Forecast'!E43</f>
        <v>4193.43</v>
      </c>
      <c r="F31" s="208">
        <f>'Cash Flow Statement &amp; Forecast'!F43</f>
        <v>6103.6</v>
      </c>
      <c r="G31" s="208">
        <f>'Cash Flow Statement &amp; Forecast'!G43</f>
        <v>4423.96</v>
      </c>
      <c r="H31" s="206"/>
      <c r="I31" s="209">
        <f>'Cash Flow Statement &amp; Forecast'!I43</f>
        <v>4408.41678394471</v>
      </c>
      <c r="J31" s="209">
        <f>'Cash Flow Statement &amp; Forecast'!J43</f>
        <v>5189.2575846835789</v>
      </c>
      <c r="K31" s="209">
        <f>'Cash Flow Statement &amp; Forecast'!K43</f>
        <v>5604.1282271032587</v>
      </c>
      <c r="L31" s="209">
        <f>'Cash Flow Statement &amp; Forecast'!L43</f>
        <v>6049.2890226987729</v>
      </c>
      <c r="M31" s="209">
        <f>'Cash Flow Statement &amp; Forecast'!M43</f>
        <v>6570.8818136820901</v>
      </c>
    </row>
    <row r="32" spans="2:13" ht="15.95" customHeight="1" x14ac:dyDescent="0.25">
      <c r="B32" s="216" t="s">
        <v>250</v>
      </c>
      <c r="C32" s="217">
        <f>'Cash Flow Statement &amp; Forecast'!C45</f>
        <v>-281.87</v>
      </c>
      <c r="D32" s="217">
        <f>'Cash Flow Statement &amp; Forecast'!D45</f>
        <v>-538.24</v>
      </c>
      <c r="E32" s="217">
        <f>'Cash Flow Statement &amp; Forecast'!E45</f>
        <v>-1273.3699999999999</v>
      </c>
      <c r="F32" s="217">
        <f>'Cash Flow Statement &amp; Forecast'!F45</f>
        <v>-2199.0100000000002</v>
      </c>
      <c r="G32" s="217">
        <f>'Cash Flow Statement &amp; Forecast'!G45</f>
        <v>-1805.32</v>
      </c>
      <c r="H32" s="180"/>
      <c r="I32" s="218">
        <f>'Cash Flow Statement &amp; Forecast'!I45</f>
        <v>-2515.7970040000005</v>
      </c>
      <c r="J32" s="218">
        <f>'Cash Flow Statement &amp; Forecast'!J45</f>
        <v>-2717.0607643200005</v>
      </c>
      <c r="K32" s="218">
        <f>'Cash Flow Statement &amp; Forecast'!K45</f>
        <v>-2515.2219646848007</v>
      </c>
      <c r="L32" s="218">
        <f>'Cash Flow Statement &amp; Forecast'!L45</f>
        <v>-2716.439721859585</v>
      </c>
      <c r="M32" s="218">
        <f>'Cash Flow Statement &amp; Forecast'!M45</f>
        <v>-2906.5905023897562</v>
      </c>
    </row>
    <row r="33" spans="2:13" ht="15.95" customHeight="1" x14ac:dyDescent="0.25">
      <c r="B33" s="219" t="s">
        <v>251</v>
      </c>
      <c r="C33" s="208">
        <f t="shared" ref="C33:G33" si="12">C31+C32</f>
        <v>3401.48</v>
      </c>
      <c r="D33" s="208">
        <f t="shared" si="12"/>
        <v>448.25</v>
      </c>
      <c r="E33" s="208">
        <f t="shared" si="12"/>
        <v>2920.0600000000004</v>
      </c>
      <c r="F33" s="208">
        <f t="shared" si="12"/>
        <v>3904.59</v>
      </c>
      <c r="G33" s="208">
        <f t="shared" si="12"/>
        <v>2618.6400000000003</v>
      </c>
      <c r="H33" s="206"/>
      <c r="I33" s="209">
        <f t="shared" ref="I33:M33" si="13">I31+I32</f>
        <v>1892.6197799447095</v>
      </c>
      <c r="J33" s="209">
        <f t="shared" si="13"/>
        <v>2472.1968203635784</v>
      </c>
      <c r="K33" s="209">
        <f t="shared" si="13"/>
        <v>3088.906262418458</v>
      </c>
      <c r="L33" s="209">
        <f t="shared" si="13"/>
        <v>3332.8493008391879</v>
      </c>
      <c r="M33" s="209">
        <f t="shared" si="13"/>
        <v>3664.2913112923338</v>
      </c>
    </row>
    <row r="34" spans="2:13" ht="15.95" customHeight="1" x14ac:dyDescent="0.25">
      <c r="B34" s="201" t="s">
        <v>252</v>
      </c>
      <c r="C34" s="202">
        <f>'Cash Flow Statement &amp; Forecast'!C70</f>
        <v>-499.35</v>
      </c>
      <c r="D34" s="202">
        <f>'Cash Flow Statement &amp; Forecast'!D70</f>
        <v>-1762.8</v>
      </c>
      <c r="E34" s="202">
        <f>'Cash Flow Statement &amp; Forecast'!E70</f>
        <v>-1936.05</v>
      </c>
      <c r="F34" s="202">
        <f>'Cash Flow Statement &amp; Forecast'!F70</f>
        <v>-2550.88</v>
      </c>
      <c r="G34" s="202">
        <f>'Cash Flow Statement &amp; Forecast'!G70</f>
        <v>-3140.21</v>
      </c>
      <c r="H34" s="191"/>
      <c r="I34" s="203">
        <f>'Cash Flow Statement &amp; Forecast'!I70</f>
        <v>-2950.1038036875998</v>
      </c>
      <c r="J34" s="203">
        <f>'Cash Flow Statement &amp; Forecast'!J70</f>
        <v>-3184.852142912609</v>
      </c>
      <c r="K34" s="203">
        <f>'Cash Flow Statement &amp; Forecast'!K70</f>
        <v>-3436.1935510221138</v>
      </c>
      <c r="L34" s="203">
        <f>'Cash Flow Statement &amp; Forecast'!L70</f>
        <v>-3705.4497336142108</v>
      </c>
      <c r="M34" s="203">
        <f>'Cash Flow Statement &amp; Forecast'!M70</f>
        <v>-3954.5313443653454</v>
      </c>
    </row>
    <row r="35" spans="2:13" ht="15.95" customHeight="1" x14ac:dyDescent="0.25"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</row>
    <row r="36" spans="2:13" ht="15.95" customHeight="1" x14ac:dyDescent="0.25">
      <c r="B36" s="214" t="s">
        <v>253</v>
      </c>
      <c r="C36" s="214"/>
      <c r="D36" s="214"/>
      <c r="E36" s="214"/>
      <c r="F36" s="214"/>
      <c r="G36" s="214"/>
      <c r="H36" s="196"/>
      <c r="I36" s="214"/>
      <c r="J36" s="214"/>
      <c r="K36" s="214"/>
      <c r="L36" s="214"/>
      <c r="M36" s="214"/>
    </row>
    <row r="37" spans="2:13" ht="15.95" customHeight="1" x14ac:dyDescent="0.25">
      <c r="B37" s="222" t="s">
        <v>254</v>
      </c>
      <c r="C37" s="217">
        <f t="shared" ref="C37:G37" si="14">C19/C24</f>
        <v>0.24240030538621152</v>
      </c>
      <c r="D37" s="217">
        <f t="shared" si="14"/>
        <v>0.21725406346463047</v>
      </c>
      <c r="E37" s="217">
        <f t="shared" si="14"/>
        <v>0.25509899433840311</v>
      </c>
      <c r="F37" s="217">
        <f t="shared" si="14"/>
        <v>0.28612961086673583</v>
      </c>
      <c r="G37" s="217">
        <f t="shared" si="14"/>
        <v>0.18493946622596785</v>
      </c>
      <c r="H37" s="180"/>
      <c r="I37" s="218">
        <f t="shared" ref="I37:M37" si="15">I19/I24</f>
        <v>0.19764380531730352</v>
      </c>
      <c r="J37" s="218">
        <f t="shared" si="15"/>
        <v>0.20053443403609772</v>
      </c>
      <c r="K37" s="218">
        <f t="shared" si="15"/>
        <v>0.20317262442397843</v>
      </c>
      <c r="L37" s="218">
        <f t="shared" si="15"/>
        <v>0.20558061601936448</v>
      </c>
      <c r="M37" s="218">
        <f t="shared" si="15"/>
        <v>0.20585073219289055</v>
      </c>
    </row>
    <row r="38" spans="2:13" ht="15.95" customHeight="1" x14ac:dyDescent="0.25">
      <c r="B38" s="222" t="s">
        <v>255</v>
      </c>
      <c r="C38" s="217">
        <f t="shared" ref="C38:G38" si="16">C19/C23</f>
        <v>0.15742807180497231</v>
      </c>
      <c r="D38" s="217">
        <f t="shared" si="16"/>
        <v>0.13421291351326659</v>
      </c>
      <c r="E38" s="217">
        <f t="shared" si="16"/>
        <v>0.16262229630203892</v>
      </c>
      <c r="F38" s="217">
        <f t="shared" si="16"/>
        <v>0.1857262827374199</v>
      </c>
      <c r="G38" s="217">
        <f t="shared" si="16"/>
        <v>0.12214496744796169</v>
      </c>
      <c r="H38" s="180"/>
      <c r="I38" s="218">
        <f t="shared" ref="I38:M38" si="17">I19/I23</f>
        <v>0.13216458795005592</v>
      </c>
      <c r="J38" s="218">
        <f t="shared" si="17"/>
        <v>0.13548815526183025</v>
      </c>
      <c r="K38" s="218">
        <f t="shared" si="17"/>
        <v>0.13863820625934409</v>
      </c>
      <c r="L38" s="218">
        <f t="shared" si="17"/>
        <v>0.14161978798779026</v>
      </c>
      <c r="M38" s="218">
        <f t="shared" si="17"/>
        <v>0.14325824952500107</v>
      </c>
    </row>
    <row r="39" spans="2:13" ht="15.95" customHeight="1" x14ac:dyDescent="0.25">
      <c r="B39" s="222" t="s">
        <v>256</v>
      </c>
      <c r="C39" s="217">
        <f t="shared" ref="C39:G39" si="18">C17/(C24+C25)</f>
        <v>0.32185553061377892</v>
      </c>
      <c r="D39" s="217">
        <f t="shared" si="18"/>
        <v>0.29164159668775774</v>
      </c>
      <c r="E39" s="217">
        <f t="shared" si="18"/>
        <v>0.33231523530120965</v>
      </c>
      <c r="F39" s="217">
        <f t="shared" si="18"/>
        <v>0.36140495119045418</v>
      </c>
      <c r="G39" s="217">
        <f t="shared" si="18"/>
        <v>0.26537939472728317</v>
      </c>
      <c r="H39" s="180"/>
      <c r="I39" s="218">
        <f t="shared" ref="I39:M39" si="19">I17/(I24+I25)</f>
        <v>0.26055849753783</v>
      </c>
      <c r="J39" s="218">
        <f t="shared" si="19"/>
        <v>0.26517965403000993</v>
      </c>
      <c r="K39" s="218">
        <f t="shared" si="19"/>
        <v>0.26946039446821657</v>
      </c>
      <c r="L39" s="218">
        <f t="shared" si="19"/>
        <v>0.27342605256904001</v>
      </c>
      <c r="M39" s="218">
        <f t="shared" si="19"/>
        <v>0.27446811527515874</v>
      </c>
    </row>
    <row r="40" spans="2:13" ht="15.95" customHeight="1" x14ac:dyDescent="0.25">
      <c r="B40" s="222" t="s">
        <v>257</v>
      </c>
      <c r="C40" s="217">
        <f>Assumptions!C15</f>
        <v>0.25499785101118633</v>
      </c>
      <c r="D40" s="217">
        <f>Assumptions!D15</f>
        <v>0.26336765590822692</v>
      </c>
      <c r="E40" s="217">
        <f>Assumptions!E15</f>
        <v>0.26253201449155628</v>
      </c>
      <c r="F40" s="217">
        <f>Assumptions!F15</f>
        <v>0.24362221463110573</v>
      </c>
      <c r="G40" s="217">
        <f>Assumptions!G15</f>
        <v>0.27304348166887776</v>
      </c>
      <c r="H40" s="191"/>
      <c r="I40" s="218">
        <f>Assumptions!I15</f>
        <v>0.26</v>
      </c>
      <c r="J40" s="218">
        <f>Assumptions!J15</f>
        <v>0.26</v>
      </c>
      <c r="K40" s="218">
        <f>Assumptions!K15</f>
        <v>0.26</v>
      </c>
      <c r="L40" s="218">
        <f>Assumptions!L15</f>
        <v>0.26</v>
      </c>
      <c r="M40" s="218">
        <f>Assumptions!M15</f>
        <v>0.26</v>
      </c>
    </row>
    <row r="41" spans="2:13" ht="15.95" customHeight="1" x14ac:dyDescent="0.25">
      <c r="B41" s="223" t="s">
        <v>258</v>
      </c>
      <c r="C41" s="202">
        <f t="shared" ref="C41:G41" si="20">C31/C13</f>
        <v>0.16963964557295491</v>
      </c>
      <c r="D41" s="202">
        <f t="shared" si="20"/>
        <v>3.3898508931565902E-2</v>
      </c>
      <c r="E41" s="202">
        <f t="shared" si="20"/>
        <v>0.12158890809975124</v>
      </c>
      <c r="F41" s="202">
        <f t="shared" si="20"/>
        <v>0.1719579216407619</v>
      </c>
      <c r="G41" s="202">
        <f t="shared" si="20"/>
        <v>0.13047866400909347</v>
      </c>
      <c r="H41" s="177"/>
      <c r="I41" s="203">
        <f t="shared" ref="I41:M41" si="21">I31/I13</f>
        <v>0.12266060194263975</v>
      </c>
      <c r="J41" s="203">
        <f t="shared" si="21"/>
        <v>0.13369153745030826</v>
      </c>
      <c r="K41" s="203">
        <f t="shared" si="21"/>
        <v>0.13368509751716207</v>
      </c>
      <c r="L41" s="203">
        <f t="shared" si="21"/>
        <v>0.13361509126860277</v>
      </c>
      <c r="M41" s="203">
        <f t="shared" si="21"/>
        <v>0.13564102287431834</v>
      </c>
    </row>
    <row r="42" spans="2:13" ht="15.95" customHeight="1" x14ac:dyDescent="0.25"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</row>
    <row r="43" spans="2:13" ht="15.95" customHeight="1" x14ac:dyDescent="0.25">
      <c r="B43" s="220" t="s">
        <v>259</v>
      </c>
      <c r="C43" s="220"/>
      <c r="D43" s="220"/>
      <c r="E43" s="220"/>
      <c r="F43" s="220"/>
      <c r="G43" s="220"/>
      <c r="H43" s="221"/>
      <c r="I43" s="220"/>
      <c r="J43" s="220"/>
      <c r="K43" s="220"/>
      <c r="L43" s="220"/>
      <c r="M43" s="214"/>
    </row>
    <row r="44" spans="2:13" ht="15.95" customHeight="1" x14ac:dyDescent="0.25">
      <c r="B44" s="207" t="str">
        <f>HYPERLINK("#'Income Statement &amp; Forecast'!B47","Basic EPS (₹)")</f>
        <v>Basic EPS (₹)</v>
      </c>
      <c r="C44" s="208">
        <f>'Income Statement &amp; Forecast'!C47</f>
        <v>32.729999999999997</v>
      </c>
      <c r="D44" s="208">
        <f>'Income Statement &amp; Forecast'!D47</f>
        <v>31.59</v>
      </c>
      <c r="E44" s="208">
        <f>'Income Statement &amp; Forecast'!E47</f>
        <v>42.83</v>
      </c>
      <c r="F44" s="208">
        <f>'Income Statement &amp; Forecast'!F47</f>
        <v>56.95</v>
      </c>
      <c r="G44" s="208">
        <f>'Income Statement &amp; Forecast'!G47</f>
        <v>38.25</v>
      </c>
      <c r="H44" s="224"/>
      <c r="I44" s="209">
        <f>'Income Statement &amp; Forecast'!I47</f>
        <v>43.431693225682011</v>
      </c>
      <c r="J44" s="209">
        <f>'Income Statement &amp; Forecast'!J47</f>
        <v>46.887679364784852</v>
      </c>
      <c r="K44" s="209">
        <f>'Income Statement &amp; Forecast'!K47</f>
        <v>50.587950154672939</v>
      </c>
      <c r="L44" s="209">
        <f>'Income Statement &amp; Forecast'!L47</f>
        <v>54.551963863899203</v>
      </c>
      <c r="M44" s="209">
        <f>'Income Statement &amp; Forecast'!M47</f>
        <v>58.21896571406446</v>
      </c>
    </row>
    <row r="45" spans="2:13" ht="15.95" customHeight="1" x14ac:dyDescent="0.25">
      <c r="B45" s="222" t="s">
        <v>260</v>
      </c>
      <c r="C45" s="217">
        <f>'Balance Sheet &amp; Forecast'!C39/Assumptions!C28</f>
        <v>133.51011259382821</v>
      </c>
      <c r="D45" s="217">
        <f>'Balance Sheet &amp; Forecast'!D39/Assumptions!D28</f>
        <v>143.9904086738949</v>
      </c>
      <c r="E45" s="217">
        <f>'Balance Sheet &amp; Forecast'!E39/Assumptions!E28</f>
        <v>166.7246663886572</v>
      </c>
      <c r="F45" s="217">
        <f>'Balance Sheet &amp; Forecast'!F39/Assumptions!F28</f>
        <v>195.24916597164304</v>
      </c>
      <c r="G45" s="217">
        <f>'Balance Sheet &amp; Forecast'!G39/Assumptions!G28</f>
        <v>202.24989574645539</v>
      </c>
      <c r="H45" s="177"/>
      <c r="I45" s="218">
        <f>'Balance Sheet &amp; Forecast'!I39/Assumptions!I28</f>
        <v>215.27940371415994</v>
      </c>
      <c r="J45" s="218">
        <f>'Balance Sheet &amp; Forecast'!J39/Assumptions!J28</f>
        <v>229.34570752359539</v>
      </c>
      <c r="K45" s="218">
        <f>'Balance Sheet &amp; Forecast'!K39/Assumptions!K28</f>
        <v>244.52209256999728</v>
      </c>
      <c r="L45" s="218">
        <f>'Balance Sheet &amp; Forecast'!L39/Assumptions!L28</f>
        <v>260.88768172916707</v>
      </c>
      <c r="M45" s="218">
        <f>'Balance Sheet &amp; Forecast'!M39/Assumptions!M28</f>
        <v>278.35337144338638</v>
      </c>
    </row>
    <row r="46" spans="2:13" ht="15.95" customHeight="1" x14ac:dyDescent="0.25">
      <c r="B46" s="222" t="s">
        <v>261</v>
      </c>
      <c r="C46" s="217">
        <f>-'Cash Flow Statement &amp; Forecast'!C70/Assumptions!C28</f>
        <v>5.2059007506255215</v>
      </c>
      <c r="D46" s="217">
        <f>-'Cash Flow Statement &amp; Forecast'!D70/Assumptions!D28</f>
        <v>18.377814845704751</v>
      </c>
      <c r="E46" s="217">
        <f>-'Cash Flow Statement &amp; Forecast'!E70/Assumptions!E28</f>
        <v>20.184007506255213</v>
      </c>
      <c r="F46" s="217">
        <f>-'Cash Flow Statement &amp; Forecast'!F70/Assumptions!F28</f>
        <v>26.593828190158465</v>
      </c>
      <c r="G46" s="217">
        <f>-'Cash Flow Statement &amp; Forecast'!G70/Assumptions!G28</f>
        <v>32.737802335279397</v>
      </c>
      <c r="H46" s="177"/>
      <c r="I46" s="218">
        <f>-'Cash Flow Statement &amp; Forecast'!I70/Assumptions!I28</f>
        <v>30.75587785329024</v>
      </c>
      <c r="J46" s="218">
        <f>-'Cash Flow Statement &amp; Forecast'!J70/Assumptions!J28</f>
        <v>33.20321249908892</v>
      </c>
      <c r="K46" s="218">
        <f>-'Cash Flow Statement &amp; Forecast'!K70/Assumptions!K28</f>
        <v>35.823535769621699</v>
      </c>
      <c r="L46" s="218">
        <f>-'Cash Flow Statement &amp; Forecast'!L70/Assumptions!L28</f>
        <v>38.63062691424323</v>
      </c>
      <c r="M46" s="218">
        <f>-'Cash Flow Statement &amp; Forecast'!M70/Assumptions!M28</f>
        <v>41.227390996302596</v>
      </c>
    </row>
    <row r="47" spans="2:13" ht="15.95" customHeight="1" x14ac:dyDescent="0.25">
      <c r="B47" s="201" t="s">
        <v>262</v>
      </c>
      <c r="C47" s="202">
        <f>Assumptions!C28</f>
        <v>95.92</v>
      </c>
      <c r="D47" s="202">
        <f>Assumptions!D28</f>
        <v>95.92</v>
      </c>
      <c r="E47" s="202">
        <f>Assumptions!E28</f>
        <v>95.92</v>
      </c>
      <c r="F47" s="202">
        <f>Assumptions!F28</f>
        <v>95.92</v>
      </c>
      <c r="G47" s="202">
        <f>Assumptions!G28</f>
        <v>95.92</v>
      </c>
      <c r="H47" s="177"/>
      <c r="I47" s="203">
        <f>Assumptions!I28</f>
        <v>95.92</v>
      </c>
      <c r="J47" s="203">
        <f>Assumptions!J28</f>
        <v>95.92</v>
      </c>
      <c r="K47" s="203">
        <f>Assumptions!K28</f>
        <v>95.92</v>
      </c>
      <c r="L47" s="203">
        <f>Assumptions!L28</f>
        <v>95.92</v>
      </c>
      <c r="M47" s="203">
        <f>Assumptions!M28</f>
        <v>95.92</v>
      </c>
    </row>
    <row r="48" spans="2:13" ht="15.9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</row>
    <row r="49" spans="2:13" ht="15.95" customHeight="1" x14ac:dyDescent="0.25">
      <c r="B49" s="215" t="s">
        <v>263</v>
      </c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</row>
    <row r="50" spans="2:13" ht="15.95" customHeight="1" x14ac:dyDescent="0.25">
      <c r="B50" s="225" t="s">
        <v>264</v>
      </c>
      <c r="C50" s="226">
        <f>'Balance Sheet &amp; Forecast'!C65</f>
        <v>0</v>
      </c>
      <c r="D50" s="226">
        <f>'Balance Sheet &amp; Forecast'!D65</f>
        <v>0</v>
      </c>
      <c r="E50" s="226">
        <f>'Balance Sheet &amp; Forecast'!E65</f>
        <v>0</v>
      </c>
      <c r="F50" s="226">
        <f>'Balance Sheet &amp; Forecast'!F65</f>
        <v>0</v>
      </c>
      <c r="G50" s="226">
        <f>'Balance Sheet &amp; Forecast'!G65</f>
        <v>0</v>
      </c>
      <c r="H50" s="227"/>
      <c r="I50" s="226">
        <f>'Balance Sheet &amp; Forecast'!I65</f>
        <v>0</v>
      </c>
      <c r="J50" s="226">
        <f>'Balance Sheet &amp; Forecast'!J65</f>
        <v>0</v>
      </c>
      <c r="K50" s="226">
        <f>'Balance Sheet &amp; Forecast'!K65</f>
        <v>0</v>
      </c>
      <c r="L50" s="226">
        <f>'Balance Sheet &amp; Forecast'!L65</f>
        <v>0</v>
      </c>
      <c r="M50" s="226">
        <f>'Balance Sheet &amp; Forecast'!M65</f>
        <v>0</v>
      </c>
    </row>
    <row r="51" spans="2:13" ht="15.95" customHeight="1" thickBot="1" x14ac:dyDescent="0.3"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</row>
    <row r="52" spans="2:13" ht="21.95" customHeight="1" thickBot="1" x14ac:dyDescent="0.3">
      <c r="B52" s="234" t="s">
        <v>288</v>
      </c>
      <c r="C52" s="228"/>
      <c r="D52" s="228"/>
      <c r="E52" s="228"/>
      <c r="F52" s="228"/>
      <c r="G52" s="228"/>
      <c r="H52" s="229"/>
      <c r="I52" s="228"/>
      <c r="J52" s="228"/>
      <c r="K52" s="228"/>
      <c r="L52" s="228"/>
      <c r="M52" s="230"/>
    </row>
    <row r="53" spans="2:13" ht="18.75" x14ac:dyDescent="0.3">
      <c r="B53" s="233" t="s">
        <v>289</v>
      </c>
      <c r="C53" s="161"/>
      <c r="D53" s="161"/>
      <c r="E53" s="161"/>
      <c r="F53" s="161"/>
      <c r="G53" s="162"/>
      <c r="H53" s="119"/>
      <c r="I53" s="328" t="s">
        <v>290</v>
      </c>
      <c r="J53" s="329"/>
      <c r="K53" s="329"/>
      <c r="L53" s="163"/>
      <c r="M53" s="164"/>
    </row>
    <row r="54" spans="2:13" ht="15.95" customHeight="1" x14ac:dyDescent="0.25"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</row>
    <row r="55" spans="2:13" ht="15.95" customHeight="1" x14ac:dyDescent="0.25"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71" spans="2:13" ht="15.75" customHeight="1" outlineLevel="1" x14ac:dyDescent="0.25">
      <c r="B71" s="235" t="s">
        <v>291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</row>
    <row r="72" spans="2:13" ht="15.75" customHeight="1" outlineLevel="1" x14ac:dyDescent="0.25">
      <c r="B72" s="231" t="s">
        <v>292</v>
      </c>
      <c r="C72" s="166">
        <f>MATCH(F4,C75:L75,0)</f>
        <v>5</v>
      </c>
    </row>
    <row r="73" spans="2:13" ht="15.75" customHeight="1" outlineLevel="1" x14ac:dyDescent="0.25"/>
    <row r="74" spans="2:13" ht="15.75" customHeight="1" outlineLevel="1" x14ac:dyDescent="0.25"/>
    <row r="75" spans="2:13" ht="15.75" customHeight="1" outlineLevel="1" x14ac:dyDescent="0.25">
      <c r="B75" s="232" t="s">
        <v>293</v>
      </c>
      <c r="C75" s="232" t="str">
        <f>'Income Statement &amp; Forecast'!C4</f>
        <v>31.03.2021</v>
      </c>
      <c r="D75" s="232" t="str">
        <f>'Income Statement &amp; Forecast'!D4</f>
        <v>31.03.2022</v>
      </c>
      <c r="E75" s="232" t="str">
        <f>'Income Statement &amp; Forecast'!E4</f>
        <v>31.03.2023</v>
      </c>
      <c r="F75" s="232" t="str">
        <f>'Income Statement &amp; Forecast'!F4</f>
        <v>31.03.2024</v>
      </c>
      <c r="G75" s="232" t="str">
        <f>'Income Statement &amp; Forecast'!G4</f>
        <v>31.03.2025</v>
      </c>
      <c r="H75" s="232" t="str">
        <f>'Income Statement &amp; Forecast'!I4</f>
        <v>31.03.2026E</v>
      </c>
      <c r="I75" s="232" t="str">
        <f>'Income Statement &amp; Forecast'!J4</f>
        <v>31.03.2027E</v>
      </c>
      <c r="J75" s="232" t="str">
        <f>'Income Statement &amp; Forecast'!K4</f>
        <v>31.03.2028E</v>
      </c>
      <c r="K75" s="232" t="str">
        <f>'Income Statement &amp; Forecast'!L4</f>
        <v>31.03.2029E</v>
      </c>
      <c r="L75" s="232" t="str">
        <f>'Income Statement &amp; Forecast'!M4</f>
        <v>31.03.2030E</v>
      </c>
    </row>
    <row r="76" spans="2:13" ht="15.75" customHeight="1" outlineLevel="1" x14ac:dyDescent="0.25">
      <c r="B76" s="243" t="s">
        <v>270</v>
      </c>
      <c r="C76" s="242">
        <f>'Income Statement &amp; Forecast'!C10</f>
        <v>22015.84</v>
      </c>
      <c r="D76" s="242">
        <f>'Income Statement &amp; Forecast'!D10</f>
        <v>29481.29</v>
      </c>
      <c r="E76" s="242">
        <f>'Income Statement &amp; Forecast'!E10</f>
        <v>34875.07</v>
      </c>
      <c r="F76" s="242">
        <f>'Income Statement &amp; Forecast'!F10</f>
        <v>36182.69</v>
      </c>
      <c r="G76" s="242">
        <f>'Income Statement &amp; Forecast'!G10</f>
        <v>34478.230000000003</v>
      </c>
      <c r="H76" s="242">
        <f>'Income Statement &amp; Forecast'!I10</f>
        <v>36539.957199999997</v>
      </c>
      <c r="I76" s="242">
        <f>'Income Statement &amp; Forecast'!J10</f>
        <v>39465.153776000006</v>
      </c>
      <c r="J76" s="242">
        <f>'Income Statement &amp; Forecast'!K10</f>
        <v>42620.366078080006</v>
      </c>
      <c r="K76" s="242">
        <f>'Income Statement &amp; Forecast'!L10</f>
        <v>46023.995364326402</v>
      </c>
      <c r="L76" s="242">
        <f>'Income Statement &amp; Forecast'!M10</f>
        <v>49243.175039829257</v>
      </c>
    </row>
    <row r="77" spans="2:13" ht="15.75" customHeight="1" outlineLevel="1" x14ac:dyDescent="0.25">
      <c r="B77" s="243" t="s">
        <v>240</v>
      </c>
      <c r="C77" s="242">
        <f>'Income Statement &amp; Forecast'!C18</f>
        <v>5158.6499999999996</v>
      </c>
      <c r="D77" s="242">
        <f>'Income Statement &amp; Forecast'!D18</f>
        <v>5183.62</v>
      </c>
      <c r="E77" s="242">
        <f>'Income Statement &amp; Forecast'!E18</f>
        <v>6646.32</v>
      </c>
      <c r="F77" s="242">
        <f>'Income Statement &amp; Forecast'!F18</f>
        <v>8272.94</v>
      </c>
      <c r="G77" s="242">
        <f>'Income Statement &amp; Forecast'!G18</f>
        <v>6578.82</v>
      </c>
      <c r="H77" s="242">
        <f>'Income Statement &amp; Forecast'!I18</f>
        <v>6889.49251</v>
      </c>
      <c r="I77" s="242">
        <f>'Income Statement &amp; Forecast'!J18</f>
        <v>7442.651910800003</v>
      </c>
      <c r="J77" s="242">
        <f>'Income Statement &amp; Forecast'!K18</f>
        <v>8036.0640636639946</v>
      </c>
      <c r="K77" s="242">
        <f>'Income Statement &amp; Forecast'!L18</f>
        <v>8672.9491887571203</v>
      </c>
      <c r="L77" s="242">
        <f>'Income Statement &amp; Forecast'!M18</f>
        <v>9277.5556319701209</v>
      </c>
    </row>
    <row r="78" spans="2:13" ht="15.75" customHeight="1" outlineLevel="1" x14ac:dyDescent="0.25">
      <c r="B78" s="243" t="s">
        <v>241</v>
      </c>
      <c r="C78" s="242">
        <f t="shared" ref="C78:L78" si="22">C77/C76</f>
        <v>0.23431538383273132</v>
      </c>
      <c r="D78" s="242">
        <f t="shared" si="22"/>
        <v>0.17582744852752372</v>
      </c>
      <c r="E78" s="242">
        <f t="shared" si="22"/>
        <v>0.19057510135463526</v>
      </c>
      <c r="F78" s="242">
        <f t="shared" si="22"/>
        <v>0.22864358620102596</v>
      </c>
      <c r="G78" s="242">
        <f t="shared" si="22"/>
        <v>0.19081083918751046</v>
      </c>
      <c r="H78" s="242">
        <f t="shared" si="22"/>
        <v>0.18854681389719857</v>
      </c>
      <c r="I78" s="242">
        <f t="shared" si="22"/>
        <v>0.18858793641204846</v>
      </c>
      <c r="J78" s="242">
        <f t="shared" si="22"/>
        <v>0.18854986015235112</v>
      </c>
      <c r="K78" s="242">
        <f t="shared" si="22"/>
        <v>0.18844407401187074</v>
      </c>
      <c r="L78" s="242">
        <f t="shared" si="22"/>
        <v>0.18840287256997898</v>
      </c>
    </row>
    <row r="79" spans="2:13" ht="15.75" customHeight="1" outlineLevel="1" x14ac:dyDescent="0.25">
      <c r="B79" s="243" t="s">
        <v>272</v>
      </c>
      <c r="C79" s="242">
        <f>'Income Statement &amp; Forecast'!C31</f>
        <v>3206.75</v>
      </c>
      <c r="D79" s="242">
        <f>'Income Statement &amp; Forecast'!D31</f>
        <v>3084.81</v>
      </c>
      <c r="E79" s="242">
        <f>'Income Statement &amp; Forecast'!E31</f>
        <v>4195.33</v>
      </c>
      <c r="F79" s="242">
        <f>'Income Statement &amp; Forecast'!F31</f>
        <v>5557.69</v>
      </c>
      <c r="G79" s="242">
        <f>'Income Statement &amp; Forecast'!G31</f>
        <v>3709.71</v>
      </c>
      <c r="H79" s="242">
        <f>'Income Statement &amp; Forecast'!I31</f>
        <v>4214.434005268</v>
      </c>
      <c r="I79" s="242">
        <f>'Income Statement &amp; Forecast'!J31</f>
        <v>4549.7887755894417</v>
      </c>
      <c r="J79" s="242">
        <f>'Income Statement &amp; Forecast'!K31</f>
        <v>4908.8479300315912</v>
      </c>
      <c r="K79" s="242">
        <f>'Income Statement &amp; Forecast'!L31</f>
        <v>5293.4996194488731</v>
      </c>
      <c r="L79" s="242">
        <f>'Income Statement &amp; Forecast'!M31</f>
        <v>5649.3304919504935</v>
      </c>
    </row>
    <row r="80" spans="2:13" ht="15.75" customHeight="1" outlineLevel="1" x14ac:dyDescent="0.25">
      <c r="B80" s="243" t="s">
        <v>244</v>
      </c>
      <c r="C80" s="242">
        <f t="shared" ref="C80:L80" si="23">C79/C76</f>
        <v>0.14565649096287037</v>
      </c>
      <c r="D80" s="242">
        <f t="shared" si="23"/>
        <v>0.1046361946848323</v>
      </c>
      <c r="E80" s="242">
        <f t="shared" si="23"/>
        <v>0.12029595926259072</v>
      </c>
      <c r="F80" s="242">
        <f t="shared" si="23"/>
        <v>0.15360079640292082</v>
      </c>
      <c r="G80" s="242">
        <f t="shared" si="23"/>
        <v>0.1075957205459793</v>
      </c>
      <c r="H80" s="242">
        <f t="shared" si="23"/>
        <v>0.11533768313412256</v>
      </c>
      <c r="I80" s="242">
        <f t="shared" si="23"/>
        <v>0.11528622950295737</v>
      </c>
      <c r="J80" s="242">
        <f t="shared" si="23"/>
        <v>0.11517610902352739</v>
      </c>
      <c r="K80" s="242">
        <f t="shared" si="23"/>
        <v>0.11501608188392767</v>
      </c>
      <c r="L80" s="242">
        <f t="shared" si="23"/>
        <v>0.11472311619592272</v>
      </c>
    </row>
    <row r="81" spans="2:12" ht="15.75" customHeight="1" outlineLevel="1" x14ac:dyDescent="0.25">
      <c r="B81" s="243" t="s">
        <v>294</v>
      </c>
      <c r="C81" s="242">
        <f>'Income Statement &amp; Forecast'!C47</f>
        <v>32.729999999999997</v>
      </c>
      <c r="D81" s="242">
        <f>'Income Statement &amp; Forecast'!D47</f>
        <v>31.59</v>
      </c>
      <c r="E81" s="242">
        <f>'Income Statement &amp; Forecast'!E47</f>
        <v>42.83</v>
      </c>
      <c r="F81" s="242">
        <f>'Income Statement &amp; Forecast'!F47</f>
        <v>56.95</v>
      </c>
      <c r="G81" s="242">
        <f>'Income Statement &amp; Forecast'!G47</f>
        <v>38.25</v>
      </c>
      <c r="H81" s="242">
        <f>'Income Statement &amp; Forecast'!I47</f>
        <v>43.431693225682011</v>
      </c>
      <c r="I81" s="242">
        <f>'Income Statement &amp; Forecast'!J47</f>
        <v>46.887679364784852</v>
      </c>
      <c r="J81" s="242">
        <f>'Income Statement &amp; Forecast'!K47</f>
        <v>50.587950154672939</v>
      </c>
      <c r="K81" s="242">
        <f>'Income Statement &amp; Forecast'!L47</f>
        <v>54.551963863899203</v>
      </c>
      <c r="L81" s="242">
        <f>'Income Statement &amp; Forecast'!M47</f>
        <v>58.21896571406446</v>
      </c>
    </row>
    <row r="82" spans="2:12" ht="15.75" customHeight="1" outlineLevel="1" x14ac:dyDescent="0.25">
      <c r="B82" s="243" t="s">
        <v>282</v>
      </c>
      <c r="C82" s="242">
        <f>'Income Statement &amp; Forecast'!C31/'Balance Sheet &amp; Forecast'!C41</f>
        <v>0.24240030538621152</v>
      </c>
      <c r="D82" s="242">
        <f>'Income Statement &amp; Forecast'!D31/'Balance Sheet &amp; Forecast'!D41</f>
        <v>0.21725406346463047</v>
      </c>
      <c r="E82" s="242">
        <f>'Income Statement &amp; Forecast'!E31/'Balance Sheet &amp; Forecast'!E41</f>
        <v>0.25509899433840311</v>
      </c>
      <c r="F82" s="242">
        <f>'Income Statement &amp; Forecast'!F31/'Balance Sheet &amp; Forecast'!F41</f>
        <v>0.28612961086673583</v>
      </c>
      <c r="G82" s="242">
        <f>'Income Statement &amp; Forecast'!G31/'Balance Sheet &amp; Forecast'!G41</f>
        <v>0.18493946622596785</v>
      </c>
      <c r="H82" s="242">
        <f>'Income Statement &amp; Forecast'!I31/'Balance Sheet &amp; Forecast'!I41</f>
        <v>0.19764380531730352</v>
      </c>
      <c r="I82" s="242">
        <f>'Income Statement &amp; Forecast'!J31/'Balance Sheet &amp; Forecast'!J41</f>
        <v>0.20053443403609772</v>
      </c>
      <c r="J82" s="242">
        <f>'Income Statement &amp; Forecast'!K31/'Balance Sheet &amp; Forecast'!K41</f>
        <v>0.20317262442397843</v>
      </c>
      <c r="K82" s="242">
        <f>'Income Statement &amp; Forecast'!L31/'Balance Sheet &amp; Forecast'!L41</f>
        <v>0.20558061601936448</v>
      </c>
      <c r="L82" s="242">
        <f>'Income Statement &amp; Forecast'!M31/'Balance Sheet &amp; Forecast'!M41</f>
        <v>0.20585073219289055</v>
      </c>
    </row>
    <row r="83" spans="2:12" ht="15.75" customHeight="1" outlineLevel="1" x14ac:dyDescent="0.25">
      <c r="B83" s="243" t="s">
        <v>295</v>
      </c>
      <c r="C83" s="242">
        <f>'Cash Flow Statement &amp; Forecast'!C43</f>
        <v>3683.35</v>
      </c>
      <c r="D83" s="242">
        <f>'Cash Flow Statement &amp; Forecast'!D43</f>
        <v>986.49</v>
      </c>
      <c r="E83" s="242">
        <f>'Cash Flow Statement &amp; Forecast'!E43</f>
        <v>4193.43</v>
      </c>
      <c r="F83" s="242">
        <f>'Cash Flow Statement &amp; Forecast'!F43</f>
        <v>6103.6</v>
      </c>
      <c r="G83" s="242">
        <f>'Cash Flow Statement &amp; Forecast'!G43</f>
        <v>4423.96</v>
      </c>
      <c r="H83" s="242">
        <f>'Cash Flow Statement &amp; Forecast'!I43</f>
        <v>4408.41678394471</v>
      </c>
      <c r="I83" s="242">
        <f>'Cash Flow Statement &amp; Forecast'!J43</f>
        <v>5189.2575846835789</v>
      </c>
      <c r="J83" s="242">
        <f>'Cash Flow Statement &amp; Forecast'!K43</f>
        <v>5604.1282271032587</v>
      </c>
      <c r="K83" s="242">
        <f>'Cash Flow Statement &amp; Forecast'!L43</f>
        <v>6049.2890226987729</v>
      </c>
      <c r="L83" s="242">
        <f>'Cash Flow Statement &amp; Forecast'!M43</f>
        <v>6570.8818136820901</v>
      </c>
    </row>
    <row r="84" spans="2:12" ht="15.75" customHeight="1" outlineLevel="1" x14ac:dyDescent="0.25">
      <c r="B84" s="243" t="s">
        <v>296</v>
      </c>
      <c r="C84" s="242">
        <f>-'Cash Flow Statement &amp; Forecast'!C45</f>
        <v>281.87</v>
      </c>
      <c r="D84" s="242">
        <f>-'Cash Flow Statement &amp; Forecast'!D45</f>
        <v>538.24</v>
      </c>
      <c r="E84" s="242">
        <f>-'Cash Flow Statement &amp; Forecast'!E45</f>
        <v>1273.3699999999999</v>
      </c>
      <c r="F84" s="242">
        <f>-'Cash Flow Statement &amp; Forecast'!F45</f>
        <v>2199.0100000000002</v>
      </c>
      <c r="G84" s="242">
        <f>-'Cash Flow Statement &amp; Forecast'!G45</f>
        <v>1805.32</v>
      </c>
      <c r="H84" s="242">
        <f>-'Cash Flow Statement &amp; Forecast'!I45</f>
        <v>2515.7970040000005</v>
      </c>
      <c r="I84" s="242">
        <f>-'Cash Flow Statement &amp; Forecast'!J45</f>
        <v>2717.0607643200005</v>
      </c>
      <c r="J84" s="242">
        <f>-'Cash Flow Statement &amp; Forecast'!K45</f>
        <v>2515.2219646848007</v>
      </c>
      <c r="K84" s="242">
        <f>-'Cash Flow Statement &amp; Forecast'!L45</f>
        <v>2716.439721859585</v>
      </c>
      <c r="L84" s="242">
        <f>-'Cash Flow Statement &amp; Forecast'!M45</f>
        <v>2906.5905023897562</v>
      </c>
    </row>
    <row r="85" spans="2:12" ht="15.75" customHeight="1" outlineLevel="1" x14ac:dyDescent="0.25">
      <c r="B85" s="243" t="s">
        <v>297</v>
      </c>
      <c r="C85" s="242">
        <f t="shared" ref="C85:L85" si="24">C83-C84</f>
        <v>3401.48</v>
      </c>
      <c r="D85" s="242">
        <f t="shared" si="24"/>
        <v>448.25</v>
      </c>
      <c r="E85" s="242">
        <f t="shared" si="24"/>
        <v>2920.0600000000004</v>
      </c>
      <c r="F85" s="242">
        <f t="shared" si="24"/>
        <v>3904.59</v>
      </c>
      <c r="G85" s="242">
        <f t="shared" si="24"/>
        <v>2618.6400000000003</v>
      </c>
      <c r="H85" s="242">
        <f t="shared" si="24"/>
        <v>1892.6197799447095</v>
      </c>
      <c r="I85" s="242">
        <f t="shared" si="24"/>
        <v>2472.1968203635784</v>
      </c>
      <c r="J85" s="242">
        <f t="shared" si="24"/>
        <v>3088.906262418458</v>
      </c>
      <c r="K85" s="242">
        <f t="shared" si="24"/>
        <v>3332.8493008391879</v>
      </c>
      <c r="L85" s="242">
        <f t="shared" si="24"/>
        <v>3664.2913112923338</v>
      </c>
    </row>
    <row r="86" spans="2:12" ht="15.75" customHeight="1" outlineLevel="1" x14ac:dyDescent="0.25">
      <c r="B86" s="243" t="s">
        <v>298</v>
      </c>
      <c r="C86" s="242">
        <f>-'Cash Flow Statement &amp; Forecast'!C70</f>
        <v>499.35</v>
      </c>
      <c r="D86" s="242">
        <f>-'Cash Flow Statement &amp; Forecast'!D70</f>
        <v>1762.8</v>
      </c>
      <c r="E86" s="242">
        <f>-'Cash Flow Statement &amp; Forecast'!E70</f>
        <v>1936.05</v>
      </c>
      <c r="F86" s="242">
        <f>-'Cash Flow Statement &amp; Forecast'!F70</f>
        <v>2550.88</v>
      </c>
      <c r="G86" s="242">
        <f>-'Cash Flow Statement &amp; Forecast'!G70</f>
        <v>3140.21</v>
      </c>
      <c r="H86" s="242">
        <f>-'Cash Flow Statement &amp; Forecast'!I70</f>
        <v>2950.1038036875998</v>
      </c>
      <c r="I86" s="242">
        <f>-'Cash Flow Statement &amp; Forecast'!J70</f>
        <v>3184.852142912609</v>
      </c>
      <c r="J86" s="242">
        <f>-'Cash Flow Statement &amp; Forecast'!K70</f>
        <v>3436.1935510221138</v>
      </c>
      <c r="K86" s="242">
        <f>-'Cash Flow Statement &amp; Forecast'!L70</f>
        <v>3705.4497336142108</v>
      </c>
      <c r="L86" s="242">
        <f>-'Cash Flow Statement &amp; Forecast'!M70</f>
        <v>3954.5313443653454</v>
      </c>
    </row>
  </sheetData>
  <mergeCells count="2">
    <mergeCell ref="I53:K53"/>
    <mergeCell ref="H10:M10"/>
  </mergeCells>
  <conditionalFormatting sqref="C13:G13">
    <cfRule type="dataBar" priority="1">
      <dataBar>
        <cfvo type="min"/>
        <cfvo type="max"/>
        <color rgb="FFA893CB"/>
      </dataBar>
      <extLst>
        <ext xmlns:x14="http://schemas.microsoft.com/office/spreadsheetml/2009/9/main" uri="{B025F937-C7B1-47D3-B67F-A62EFF666E3E}">
          <x14:id>{738D2911-B629-493E-97F7-2C47872A6746}</x14:id>
        </ext>
      </extLst>
    </cfRule>
  </conditionalFormatting>
  <conditionalFormatting sqref="C15:G15">
    <cfRule type="dataBar" priority="3">
      <dataBar>
        <cfvo type="min"/>
        <cfvo type="max"/>
        <color rgb="FFA893CB"/>
      </dataBar>
      <extLst>
        <ext xmlns:x14="http://schemas.microsoft.com/office/spreadsheetml/2009/9/main" uri="{B025F937-C7B1-47D3-B67F-A62EFF666E3E}">
          <x14:id>{3EFBB3B7-0379-4BB2-8B73-D33D46C6AC33}</x14:id>
        </ext>
      </extLst>
    </cfRule>
  </conditionalFormatting>
  <conditionalFormatting sqref="C19:G19">
    <cfRule type="dataBar" priority="5">
      <dataBar>
        <cfvo type="min"/>
        <cfvo type="max"/>
        <color rgb="FFFDBA3D"/>
      </dataBar>
      <extLst>
        <ext xmlns:x14="http://schemas.microsoft.com/office/spreadsheetml/2009/9/main" uri="{B025F937-C7B1-47D3-B67F-A62EFF666E3E}">
          <x14:id>{AA2EBBC6-BA6A-48FB-AA90-D1D596CD4398}</x14:id>
        </ext>
      </extLst>
    </cfRule>
  </conditionalFormatting>
  <conditionalFormatting sqref="C31:G31">
    <cfRule type="dataBar" priority="7">
      <dataBar>
        <cfvo type="min"/>
        <cfvo type="max"/>
        <color rgb="FFA893CB"/>
      </dataBar>
      <extLst>
        <ext xmlns:x14="http://schemas.microsoft.com/office/spreadsheetml/2009/9/main" uri="{B025F937-C7B1-47D3-B67F-A62EFF666E3E}">
          <x14:id>{2AAD4886-9ED5-472A-8A0B-389E9F50448E}</x14:id>
        </ext>
      </extLst>
    </cfRule>
  </conditionalFormatting>
  <conditionalFormatting sqref="C44:G44">
    <cfRule type="dataBar" priority="9">
      <dataBar>
        <cfvo type="min"/>
        <cfvo type="max"/>
        <color rgb="FFFDBA3D"/>
      </dataBar>
      <extLst>
        <ext xmlns:x14="http://schemas.microsoft.com/office/spreadsheetml/2009/9/main" uri="{B025F937-C7B1-47D3-B67F-A62EFF666E3E}">
          <x14:id>{FE889D28-60E2-4D17-AE78-DE2265DEEB2C}</x14:id>
        </ext>
      </extLst>
    </cfRule>
  </conditionalFormatting>
  <conditionalFormatting sqref="I13:M13">
    <cfRule type="dataBar" priority="2">
      <dataBar>
        <cfvo type="min"/>
        <cfvo type="max"/>
        <color rgb="FF310E5F"/>
      </dataBar>
      <extLst>
        <ext xmlns:x14="http://schemas.microsoft.com/office/spreadsheetml/2009/9/main" uri="{B025F937-C7B1-47D3-B67F-A62EFF666E3E}">
          <x14:id>{6B94970C-4399-4999-B2AA-FEF0BFBA51C3}</x14:id>
        </ext>
      </extLst>
    </cfRule>
  </conditionalFormatting>
  <conditionalFormatting sqref="I15:M15">
    <cfRule type="dataBar" priority="4">
      <dataBar>
        <cfvo type="min"/>
        <cfvo type="max"/>
        <color rgb="FF310E5F"/>
      </dataBar>
      <extLst>
        <ext xmlns:x14="http://schemas.microsoft.com/office/spreadsheetml/2009/9/main" uri="{B025F937-C7B1-47D3-B67F-A62EFF666E3E}">
          <x14:id>{179C685D-0457-4425-8711-DCDC2BB9D6BC}</x14:id>
        </ext>
      </extLst>
    </cfRule>
  </conditionalFormatting>
  <conditionalFormatting sqref="I19:M19">
    <cfRule type="dataBar" priority="6">
      <dataBar>
        <cfvo type="min"/>
        <cfvo type="max"/>
        <color rgb="FFF03F35"/>
      </dataBar>
      <extLst>
        <ext xmlns:x14="http://schemas.microsoft.com/office/spreadsheetml/2009/9/main" uri="{B025F937-C7B1-47D3-B67F-A62EFF666E3E}">
          <x14:id>{50F0020B-C4CD-4B83-B311-770201F615BF}</x14:id>
        </ext>
      </extLst>
    </cfRule>
  </conditionalFormatting>
  <conditionalFormatting sqref="I31:M31">
    <cfRule type="dataBar" priority="8">
      <dataBar>
        <cfvo type="min"/>
        <cfvo type="max"/>
        <color rgb="FF310E5F"/>
      </dataBar>
      <extLst>
        <ext xmlns:x14="http://schemas.microsoft.com/office/spreadsheetml/2009/9/main" uri="{B025F937-C7B1-47D3-B67F-A62EFF666E3E}">
          <x14:id>{3316F272-B034-4748-B147-2EAC69BA1970}</x14:id>
        </ext>
      </extLst>
    </cfRule>
  </conditionalFormatting>
  <conditionalFormatting sqref="I44:M44">
    <cfRule type="dataBar" priority="10">
      <dataBar>
        <cfvo type="min"/>
        <cfvo type="max"/>
        <color rgb="FFF03F35"/>
      </dataBar>
      <extLst>
        <ext xmlns:x14="http://schemas.microsoft.com/office/spreadsheetml/2009/9/main" uri="{B025F937-C7B1-47D3-B67F-A62EFF666E3E}">
          <x14:id>{C2A36514-8096-4C9A-9AFC-AF4B2539B8AA}</x14:id>
        </ext>
      </extLst>
    </cfRule>
  </conditionalFormatting>
  <dataValidations count="2">
    <dataValidation type="list" allowBlank="1" showInputMessage="1" showErrorMessage="1" errorTitle="Invalid Period" error="Please select one of the available fiscal years from the list." promptTitle="Select Period" prompt="Pick a fiscal year to refresh the KPI tiles above." sqref="C4" xr:uid="{D203F2CF-20CE-45C8-911E-B0FB64F81E5E}">
      <formula1>"31.03.2021,31.03.2022,31.03.2023,31.03.2024,31.03.2025,31.03.2026E,31.03.2027E,31.03.2028E,31.03.2029E,31.03.2030E"</formula1>
    </dataValidation>
    <dataValidation type="list" allowBlank="1" showInputMessage="1" showErrorMessage="1" errorTitle="Invalid Period" error="Please select a fiscal year from the dropdown." sqref="F4" xr:uid="{F5CBA216-DB77-4D8F-8171-3662D101A572}">
      <formula1>"31.03.2021,31.03.2022,31.03.2023,31.03.2024,31.03.2025,31.03.2026E,31.03.2027E,31.03.2028E,31.03.2029E,31.03.2030E"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D2911-B629-493E-97F7-2C47872A6746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C13:G13</xm:sqref>
        </x14:conditionalFormatting>
        <x14:conditionalFormatting xmlns:xm="http://schemas.microsoft.com/office/excel/2006/main">
          <x14:cfRule type="dataBar" id="{3EFBB3B7-0379-4BB2-8B73-D33D46C6AC3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C15:G15</xm:sqref>
        </x14:conditionalFormatting>
        <x14:conditionalFormatting xmlns:xm="http://schemas.microsoft.com/office/excel/2006/main">
          <x14:cfRule type="dataBar" id="{AA2EBBC6-BA6A-48FB-AA90-D1D596CD4398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C19:G19</xm:sqref>
        </x14:conditionalFormatting>
        <x14:conditionalFormatting xmlns:xm="http://schemas.microsoft.com/office/excel/2006/main">
          <x14:cfRule type="dataBar" id="{2AAD4886-9ED5-472A-8A0B-389E9F50448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C31:G31</xm:sqref>
        </x14:conditionalFormatting>
        <x14:conditionalFormatting xmlns:xm="http://schemas.microsoft.com/office/excel/2006/main">
          <x14:cfRule type="dataBar" id="{FE889D28-60E2-4D17-AE78-DE2265DEEB2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C44:G44</xm:sqref>
        </x14:conditionalFormatting>
        <x14:conditionalFormatting xmlns:xm="http://schemas.microsoft.com/office/excel/2006/main">
          <x14:cfRule type="dataBar" id="{6B94970C-4399-4999-B2AA-FEF0BFBA51C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I13:M13</xm:sqref>
        </x14:conditionalFormatting>
        <x14:conditionalFormatting xmlns:xm="http://schemas.microsoft.com/office/excel/2006/main">
          <x14:cfRule type="dataBar" id="{179C685D-0457-4425-8711-DCDC2BB9D6B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I15:M15</xm:sqref>
        </x14:conditionalFormatting>
        <x14:conditionalFormatting xmlns:xm="http://schemas.microsoft.com/office/excel/2006/main">
          <x14:cfRule type="dataBar" id="{50F0020B-C4CD-4B83-B311-770201F615B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I19:M19</xm:sqref>
        </x14:conditionalFormatting>
        <x14:conditionalFormatting xmlns:xm="http://schemas.microsoft.com/office/excel/2006/main">
          <x14:cfRule type="dataBar" id="{3316F272-B034-4748-B147-2EAC69BA197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I31:M31</xm:sqref>
        </x14:conditionalFormatting>
        <x14:conditionalFormatting xmlns:xm="http://schemas.microsoft.com/office/excel/2006/main">
          <x14:cfRule type="dataBar" id="{C2A36514-8096-4C9A-9AFC-AF4B2539B8A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I44:M44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C42E-96FF-4B31-8F6A-62F251C7E435}">
  <dimension ref="A1:L409"/>
  <sheetViews>
    <sheetView workbookViewId="0"/>
  </sheetViews>
  <sheetFormatPr defaultRowHeight="15.75" x14ac:dyDescent="0.25"/>
  <sheetData>
    <row r="1" spans="1:11" x14ac:dyDescent="0.25">
      <c r="A1" s="43"/>
      <c r="B1" s="43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43"/>
    </row>
    <row r="3" spans="1:11" x14ac:dyDescent="0.25">
      <c r="A3" s="43"/>
      <c r="B3" s="43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43"/>
      <c r="B4" s="43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5">
      <c r="A5" s="43"/>
      <c r="B5" s="43"/>
      <c r="C5" s="14"/>
      <c r="D5" s="14"/>
      <c r="E5" s="14"/>
      <c r="F5" s="14"/>
      <c r="G5" s="14"/>
      <c r="H5" s="14"/>
      <c r="I5" s="14"/>
      <c r="J5" s="14"/>
      <c r="K5" s="14"/>
    </row>
    <row r="6" spans="1:11" x14ac:dyDescent="0.25">
      <c r="A6" s="43"/>
      <c r="B6" s="43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5">
      <c r="A7" s="43"/>
      <c r="B7" s="43"/>
      <c r="C7" s="14"/>
      <c r="D7" s="14"/>
      <c r="E7" s="14"/>
      <c r="F7" s="14"/>
      <c r="G7" s="14"/>
      <c r="H7" s="14"/>
      <c r="I7" s="14"/>
      <c r="J7" s="14"/>
      <c r="K7" s="14"/>
    </row>
    <row r="8" spans="1:11" x14ac:dyDescent="0.25">
      <c r="A8" s="43"/>
      <c r="B8" s="43"/>
      <c r="C8" s="14"/>
      <c r="D8" s="14"/>
      <c r="E8" s="14"/>
      <c r="F8" s="14"/>
      <c r="G8" s="14"/>
      <c r="H8" s="14"/>
      <c r="I8" s="14"/>
      <c r="J8" s="14"/>
      <c r="K8" s="14"/>
    </row>
    <row r="9" spans="1:11" x14ac:dyDescent="0.25">
      <c r="A9" s="43"/>
      <c r="B9" s="43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43"/>
      <c r="B10" s="43"/>
      <c r="C10" s="14"/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43"/>
      <c r="B11" s="43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43"/>
      <c r="B12" s="43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43"/>
      <c r="B13" s="43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5">
      <c r="A14" s="43"/>
      <c r="B14" s="43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43"/>
      <c r="B15" s="43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43"/>
      <c r="B16" s="43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25">
      <c r="A17" s="43"/>
      <c r="B17" s="43"/>
      <c r="C17" s="14"/>
      <c r="D17" s="14"/>
      <c r="E17" s="14"/>
      <c r="F17" s="14"/>
      <c r="G17" s="14"/>
      <c r="H17" s="14"/>
      <c r="I17" s="14"/>
      <c r="J17" s="14"/>
      <c r="K17" s="14"/>
    </row>
    <row r="18" spans="1:11" x14ac:dyDescent="0.25">
      <c r="A18" s="43"/>
      <c r="B18" s="43"/>
      <c r="C18" s="14"/>
      <c r="D18" s="14"/>
      <c r="E18" s="14"/>
      <c r="F18" s="14"/>
      <c r="G18" s="14"/>
      <c r="H18" s="14"/>
      <c r="I18" s="14"/>
      <c r="J18" s="14"/>
      <c r="K18" s="14"/>
    </row>
    <row r="19" spans="1:11" x14ac:dyDescent="0.25">
      <c r="A19" s="43"/>
      <c r="B19" s="43"/>
      <c r="C19" s="14"/>
      <c r="D19" s="14"/>
      <c r="E19" s="14"/>
      <c r="F19" s="14"/>
      <c r="G19" s="14"/>
      <c r="H19" s="14"/>
      <c r="I19" s="14"/>
      <c r="J19" s="14"/>
      <c r="K19" s="14"/>
    </row>
    <row r="20" spans="1:11" x14ac:dyDescent="0.25">
      <c r="A20" s="43"/>
      <c r="B20" s="43"/>
      <c r="C20" s="14"/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43"/>
      <c r="B21" s="43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25">
      <c r="A22" s="43"/>
      <c r="B22" s="43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25">
      <c r="A23" s="43"/>
      <c r="B23" s="43"/>
      <c r="C23" s="14"/>
      <c r="D23" s="14"/>
      <c r="E23" s="14"/>
      <c r="F23" s="14"/>
      <c r="G23" s="14"/>
      <c r="H23" s="14"/>
      <c r="I23" s="14"/>
      <c r="J23" s="14"/>
      <c r="K23" s="14"/>
    </row>
    <row r="24" spans="1:11" x14ac:dyDescent="0.25">
      <c r="A24" s="43"/>
      <c r="B24" s="43"/>
      <c r="C24" s="14"/>
      <c r="D24" s="14"/>
      <c r="E24" s="14"/>
      <c r="F24" s="14"/>
      <c r="G24" s="14"/>
      <c r="H24" s="14"/>
      <c r="I24" s="14"/>
      <c r="J24" s="14"/>
      <c r="K24" s="14"/>
    </row>
    <row r="25" spans="1:11" x14ac:dyDescent="0.25">
      <c r="A25" s="43"/>
      <c r="B25" s="43"/>
      <c r="C25" s="14"/>
      <c r="D25" s="14"/>
      <c r="E25" s="14"/>
      <c r="F25" s="14"/>
      <c r="G25" s="14"/>
      <c r="H25" s="14"/>
      <c r="I25" s="14"/>
      <c r="J25" s="14"/>
      <c r="K25" s="14"/>
    </row>
    <row r="26" spans="1:11" x14ac:dyDescent="0.25">
      <c r="A26" s="43"/>
      <c r="B26" s="43"/>
      <c r="C26" s="14"/>
      <c r="D26" s="14"/>
      <c r="E26" s="14"/>
      <c r="F26" s="14"/>
      <c r="G26" s="14"/>
      <c r="H26" s="14"/>
      <c r="I26" s="14"/>
      <c r="J26" s="14"/>
      <c r="K26" s="14"/>
    </row>
    <row r="27" spans="1:11" x14ac:dyDescent="0.25">
      <c r="A27" s="43"/>
      <c r="B27" s="43"/>
      <c r="C27" s="2"/>
      <c r="D27" s="2"/>
      <c r="E27" s="2"/>
    </row>
    <row r="28" spans="1:11" x14ac:dyDescent="0.25">
      <c r="A28" s="43"/>
      <c r="B28" s="43"/>
      <c r="C28" s="2"/>
      <c r="D28" s="2"/>
      <c r="E28" s="2"/>
    </row>
    <row r="29" spans="1:1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spans="1:11" x14ac:dyDescent="0.25">
      <c r="A30" s="43"/>
      <c r="B30" s="2"/>
      <c r="C30" s="2"/>
      <c r="D30" s="2"/>
      <c r="E30" s="2"/>
    </row>
    <row r="31" spans="1:1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</row>
    <row r="32" spans="1:1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spans="1:1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</row>
    <row r="34" spans="1:1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</row>
    <row r="35" spans="1:1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spans="1:1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</row>
    <row r="37" spans="1:1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</row>
    <row r="38" spans="1:1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</row>
    <row r="39" spans="1:1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</row>
    <row r="40" spans="1:1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spans="1:1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</row>
    <row r="42" spans="1:1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</row>
    <row r="43" spans="1:1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spans="1:1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</row>
    <row r="45" spans="1:1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</row>
    <row r="46" spans="1:11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spans="1:11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</row>
    <row r="48" spans="1:11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</row>
    <row r="49" spans="1:11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</row>
    <row r="50" spans="1:11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</row>
    <row r="51" spans="1:11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spans="1:11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</row>
    <row r="53" spans="1:11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</row>
    <row r="54" spans="1:1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1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spans="1:11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spans="1:11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spans="1:1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1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</row>
    <row r="60" spans="1:11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</row>
    <row r="61" spans="1:11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spans="1:11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</row>
    <row r="63" spans="1:11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spans="1:11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spans="1:12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spans="1:12" x14ac:dyDescent="0.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spans="1:12" ht="20.25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3"/>
    </row>
    <row r="68" spans="1:12" x14ac:dyDescent="0.25">
      <c r="A68" s="4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spans="1:12" x14ac:dyDescent="0.25">
      <c r="A69" s="43"/>
      <c r="B69" s="64"/>
      <c r="C69" s="64"/>
      <c r="D69" s="64"/>
      <c r="E69" s="64"/>
      <c r="F69" s="64"/>
      <c r="G69" s="65"/>
      <c r="H69" s="65"/>
      <c r="I69" s="65"/>
      <c r="J69" s="65"/>
      <c r="K69" s="65"/>
      <c r="L69" s="43"/>
    </row>
    <row r="70" spans="1:12" ht="16.5" thickBot="1" x14ac:dyDescent="0.3">
      <c r="A70" s="66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43"/>
    </row>
    <row r="71" spans="1:12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43"/>
    </row>
    <row r="72" spans="1:12" x14ac:dyDescent="0.25">
      <c r="A72" s="50"/>
      <c r="B72" s="69"/>
      <c r="C72" s="69"/>
      <c r="D72" s="69"/>
      <c r="E72" s="69"/>
      <c r="F72" s="69"/>
      <c r="G72" s="70"/>
      <c r="H72" s="70"/>
      <c r="I72" s="70"/>
      <c r="J72" s="70"/>
      <c r="K72" s="70"/>
      <c r="L72" s="43"/>
    </row>
    <row r="73" spans="1:12" x14ac:dyDescent="0.25">
      <c r="A73" s="71"/>
      <c r="B73" s="51"/>
      <c r="C73" s="72"/>
      <c r="D73" s="72"/>
      <c r="E73" s="72"/>
      <c r="F73" s="72"/>
      <c r="G73" s="73"/>
      <c r="H73" s="73"/>
      <c r="I73" s="73"/>
      <c r="J73" s="73"/>
      <c r="K73" s="73"/>
      <c r="L73" s="43"/>
    </row>
    <row r="74" spans="1:12" x14ac:dyDescent="0.25">
      <c r="A74" s="50"/>
      <c r="B74" s="69"/>
      <c r="C74" s="69"/>
      <c r="D74" s="69"/>
      <c r="E74" s="69"/>
      <c r="F74" s="69"/>
      <c r="G74" s="70"/>
      <c r="H74" s="70"/>
      <c r="I74" s="70"/>
      <c r="J74" s="70"/>
      <c r="K74" s="70"/>
      <c r="L74" s="43"/>
    </row>
    <row r="75" spans="1:12" x14ac:dyDescent="0.25">
      <c r="A75" s="71"/>
      <c r="B75" s="72"/>
      <c r="C75" s="72"/>
      <c r="D75" s="72"/>
      <c r="E75" s="72"/>
      <c r="F75" s="72"/>
      <c r="G75" s="73"/>
      <c r="H75" s="73"/>
      <c r="I75" s="73"/>
      <c r="J75" s="73"/>
      <c r="K75" s="73"/>
      <c r="L75" s="43"/>
    </row>
    <row r="76" spans="1:12" x14ac:dyDescent="0.25">
      <c r="A76" s="50"/>
      <c r="B76" s="69"/>
      <c r="C76" s="69"/>
      <c r="D76" s="69"/>
      <c r="E76" s="69"/>
      <c r="F76" s="69"/>
      <c r="G76" s="70"/>
      <c r="H76" s="70"/>
      <c r="I76" s="70"/>
      <c r="J76" s="70"/>
      <c r="K76" s="70"/>
      <c r="L76" s="43"/>
    </row>
    <row r="77" spans="1:12" x14ac:dyDescent="0.25">
      <c r="A77" s="71"/>
      <c r="B77" s="72"/>
      <c r="C77" s="72"/>
      <c r="D77" s="72"/>
      <c r="E77" s="72"/>
      <c r="F77" s="72"/>
      <c r="G77" s="73"/>
      <c r="H77" s="73"/>
      <c r="I77" s="73"/>
      <c r="J77" s="73"/>
      <c r="K77" s="73"/>
      <c r="L77" s="43"/>
    </row>
    <row r="78" spans="1:12" x14ac:dyDescent="0.25">
      <c r="A78" s="50"/>
      <c r="B78" s="69"/>
      <c r="C78" s="69"/>
      <c r="D78" s="69"/>
      <c r="E78" s="69"/>
      <c r="F78" s="69"/>
      <c r="G78" s="70"/>
      <c r="H78" s="70"/>
      <c r="I78" s="70"/>
      <c r="J78" s="70"/>
      <c r="K78" s="70"/>
      <c r="L78" s="43"/>
    </row>
    <row r="79" spans="1:12" x14ac:dyDescent="0.25">
      <c r="A79" s="74"/>
      <c r="B79" s="75"/>
      <c r="C79" s="75"/>
      <c r="D79" s="75"/>
      <c r="E79" s="75"/>
      <c r="F79" s="75"/>
      <c r="G79" s="76"/>
      <c r="H79" s="76"/>
      <c r="I79" s="76"/>
      <c r="J79" s="76"/>
      <c r="K79" s="76"/>
      <c r="L79" s="43"/>
    </row>
    <row r="80" spans="1:12" x14ac:dyDescent="0.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spans="1:12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3"/>
    </row>
    <row r="82" spans="1:12" x14ac:dyDescent="0.25">
      <c r="A82" s="50"/>
      <c r="B82" s="69"/>
      <c r="C82" s="69"/>
      <c r="D82" s="69"/>
      <c r="E82" s="69"/>
      <c r="F82" s="69"/>
      <c r="G82" s="70"/>
      <c r="H82" s="70"/>
      <c r="I82" s="70"/>
      <c r="J82" s="70"/>
      <c r="K82" s="70"/>
      <c r="L82" s="43"/>
    </row>
    <row r="83" spans="1:12" x14ac:dyDescent="0.25">
      <c r="A83" s="50"/>
      <c r="B83" s="69"/>
      <c r="C83" s="69"/>
      <c r="D83" s="69"/>
      <c r="E83" s="69"/>
      <c r="F83" s="69"/>
      <c r="G83" s="70"/>
      <c r="H83" s="70"/>
      <c r="I83" s="70"/>
      <c r="J83" s="70"/>
      <c r="K83" s="70"/>
      <c r="L83" s="43"/>
    </row>
    <row r="84" spans="1:12" x14ac:dyDescent="0.25">
      <c r="A84" s="71"/>
      <c r="B84" s="77"/>
      <c r="C84" s="77"/>
      <c r="D84" s="77"/>
      <c r="E84" s="77"/>
      <c r="F84" s="77"/>
      <c r="G84" s="78"/>
      <c r="H84" s="78"/>
      <c r="I84" s="78"/>
      <c r="J84" s="78"/>
      <c r="K84" s="78"/>
      <c r="L84" s="43"/>
    </row>
    <row r="85" spans="1:12" x14ac:dyDescent="0.25">
      <c r="A85" s="71"/>
      <c r="B85" s="77"/>
      <c r="C85" s="77"/>
      <c r="D85" s="77"/>
      <c r="E85" s="77"/>
      <c r="F85" s="77"/>
      <c r="G85" s="78"/>
      <c r="H85" s="78"/>
      <c r="I85" s="78"/>
      <c r="J85" s="78"/>
      <c r="K85" s="78"/>
      <c r="L85" s="43"/>
    </row>
    <row r="86" spans="1:12" x14ac:dyDescent="0.25">
      <c r="A86" s="50"/>
      <c r="B86" s="69"/>
      <c r="C86" s="69"/>
      <c r="D86" s="69"/>
      <c r="E86" s="69"/>
      <c r="F86" s="69"/>
      <c r="G86" s="70"/>
      <c r="H86" s="70"/>
      <c r="I86" s="70"/>
      <c r="J86" s="70"/>
      <c r="K86" s="70"/>
      <c r="L86" s="43"/>
    </row>
    <row r="87" spans="1:12" x14ac:dyDescent="0.25">
      <c r="A87" s="74"/>
      <c r="B87" s="75"/>
      <c r="C87" s="75"/>
      <c r="D87" s="75"/>
      <c r="E87" s="75"/>
      <c r="F87" s="75"/>
      <c r="G87" s="76"/>
      <c r="H87" s="76"/>
      <c r="I87" s="76"/>
      <c r="J87" s="76"/>
      <c r="K87" s="76"/>
      <c r="L87" s="43"/>
    </row>
    <row r="88" spans="1:12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spans="1:12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3"/>
    </row>
    <row r="90" spans="1:12" x14ac:dyDescent="0.25">
      <c r="A90" s="50"/>
      <c r="B90" s="69"/>
      <c r="C90" s="69"/>
      <c r="D90" s="69"/>
      <c r="E90" s="69"/>
      <c r="F90" s="69"/>
      <c r="G90" s="70"/>
      <c r="H90" s="70"/>
      <c r="I90" s="70"/>
      <c r="J90" s="70"/>
      <c r="K90" s="70"/>
      <c r="L90" s="43"/>
    </row>
    <row r="91" spans="1:12" x14ac:dyDescent="0.25">
      <c r="A91" s="71"/>
      <c r="B91" s="77"/>
      <c r="C91" s="77"/>
      <c r="D91" s="77"/>
      <c r="E91" s="77"/>
      <c r="F91" s="77"/>
      <c r="G91" s="78"/>
      <c r="H91" s="78"/>
      <c r="I91" s="78"/>
      <c r="J91" s="78"/>
      <c r="K91" s="78"/>
      <c r="L91" s="43"/>
    </row>
    <row r="92" spans="1:12" x14ac:dyDescent="0.25">
      <c r="A92" s="50"/>
      <c r="B92" s="69"/>
      <c r="C92" s="69"/>
      <c r="D92" s="69"/>
      <c r="E92" s="69"/>
      <c r="F92" s="69"/>
      <c r="G92" s="70"/>
      <c r="H92" s="70"/>
      <c r="I92" s="70"/>
      <c r="J92" s="70"/>
      <c r="K92" s="70"/>
      <c r="L92" s="43"/>
    </row>
    <row r="93" spans="1:12" x14ac:dyDescent="0.25">
      <c r="A93" s="74"/>
      <c r="B93" s="79"/>
      <c r="C93" s="79"/>
      <c r="D93" s="79"/>
      <c r="E93" s="79"/>
      <c r="F93" s="79"/>
      <c r="G93" s="80"/>
      <c r="H93" s="80"/>
      <c r="I93" s="80"/>
      <c r="J93" s="80"/>
      <c r="K93" s="80"/>
      <c r="L93" s="43"/>
    </row>
    <row r="94" spans="1:12" x14ac:dyDescent="0.2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spans="1:12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3"/>
    </row>
    <row r="96" spans="1:12" x14ac:dyDescent="0.25">
      <c r="A96" s="51"/>
      <c r="B96" s="72"/>
      <c r="C96" s="72"/>
      <c r="D96" s="72"/>
      <c r="E96" s="72"/>
      <c r="F96" s="72"/>
      <c r="G96" s="73"/>
      <c r="H96" s="73"/>
      <c r="I96" s="73"/>
      <c r="J96" s="73"/>
      <c r="K96" s="73"/>
      <c r="L96" s="43"/>
    </row>
    <row r="97" spans="1:12" x14ac:dyDescent="0.25">
      <c r="A97" s="51"/>
      <c r="B97" s="72"/>
      <c r="C97" s="72"/>
      <c r="D97" s="72"/>
      <c r="E97" s="72"/>
      <c r="F97" s="72"/>
      <c r="G97" s="73"/>
      <c r="H97" s="73"/>
      <c r="I97" s="73"/>
      <c r="J97" s="73"/>
      <c r="K97" s="73"/>
      <c r="L97" s="43"/>
    </row>
    <row r="98" spans="1:12" x14ac:dyDescent="0.25">
      <c r="A98" s="51"/>
      <c r="B98" s="72"/>
      <c r="C98" s="72"/>
      <c r="D98" s="72"/>
      <c r="E98" s="72"/>
      <c r="F98" s="72"/>
      <c r="G98" s="73"/>
      <c r="H98" s="73"/>
      <c r="I98" s="73"/>
      <c r="J98" s="73"/>
      <c r="K98" s="73"/>
      <c r="L98" s="43"/>
    </row>
    <row r="99" spans="1:12" x14ac:dyDescent="0.25">
      <c r="A99" s="51"/>
      <c r="B99" s="72"/>
      <c r="C99" s="72"/>
      <c r="D99" s="72"/>
      <c r="E99" s="72"/>
      <c r="F99" s="72"/>
      <c r="G99" s="73"/>
      <c r="H99" s="73"/>
      <c r="I99" s="73"/>
      <c r="J99" s="73"/>
      <c r="K99" s="73"/>
      <c r="L99" s="43"/>
    </row>
    <row r="100" spans="1:12" x14ac:dyDescent="0.25">
      <c r="A100" s="58"/>
      <c r="B100" s="75"/>
      <c r="C100" s="75"/>
      <c r="D100" s="75"/>
      <c r="E100" s="75"/>
      <c r="F100" s="75"/>
      <c r="G100" s="76"/>
      <c r="H100" s="76"/>
      <c r="I100" s="76"/>
      <c r="J100" s="76"/>
      <c r="K100" s="76"/>
      <c r="L100" s="43"/>
    </row>
    <row r="101" spans="1:12" x14ac:dyDescent="0.2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spans="1:12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3"/>
    </row>
    <row r="103" spans="1:12" x14ac:dyDescent="0.25">
      <c r="A103" s="50"/>
      <c r="B103" s="69"/>
      <c r="C103" s="69"/>
      <c r="D103" s="69"/>
      <c r="E103" s="69"/>
      <c r="F103" s="69"/>
      <c r="G103" s="70"/>
      <c r="H103" s="70"/>
      <c r="I103" s="70"/>
      <c r="J103" s="70"/>
      <c r="K103" s="70"/>
      <c r="L103" s="43"/>
    </row>
    <row r="104" spans="1:12" x14ac:dyDescent="0.25">
      <c r="A104" s="51"/>
      <c r="B104" s="77"/>
      <c r="C104" s="77"/>
      <c r="D104" s="77"/>
      <c r="E104" s="77"/>
      <c r="F104" s="77"/>
      <c r="G104" s="78"/>
      <c r="H104" s="78"/>
      <c r="I104" s="78"/>
      <c r="J104" s="78"/>
      <c r="K104" s="78"/>
      <c r="L104" s="43"/>
    </row>
    <row r="105" spans="1:12" x14ac:dyDescent="0.25">
      <c r="A105" s="51"/>
      <c r="B105" s="77"/>
      <c r="C105" s="77"/>
      <c r="D105" s="77"/>
      <c r="E105" s="77"/>
      <c r="F105" s="77"/>
      <c r="G105" s="78"/>
      <c r="H105" s="78"/>
      <c r="I105" s="78"/>
      <c r="J105" s="78"/>
      <c r="K105" s="78"/>
      <c r="L105" s="43"/>
    </row>
    <row r="106" spans="1:12" x14ac:dyDescent="0.25">
      <c r="A106" s="74"/>
      <c r="B106" s="79"/>
      <c r="C106" s="79"/>
      <c r="D106" s="79"/>
      <c r="E106" s="79"/>
      <c r="F106" s="79"/>
      <c r="G106" s="80"/>
      <c r="H106" s="80"/>
      <c r="I106" s="80"/>
      <c r="J106" s="80"/>
      <c r="K106" s="80"/>
      <c r="L106" s="43"/>
    </row>
    <row r="107" spans="1:12" x14ac:dyDescent="0.2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spans="1:12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3"/>
    </row>
    <row r="109" spans="1:12" x14ac:dyDescent="0.25">
      <c r="A109" s="81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43"/>
    </row>
    <row r="110" spans="1:12" x14ac:dyDescent="0.2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spans="1:12" x14ac:dyDescent="0.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spans="1:12" x14ac:dyDescent="0.2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spans="1:12" x14ac:dyDescent="0.2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spans="1:12" x14ac:dyDescent="0.2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spans="1:12" ht="20.25" x14ac:dyDescent="0.25">
      <c r="A115" s="44"/>
      <c r="B115" s="44"/>
      <c r="C115" s="43"/>
      <c r="D115" s="43"/>
      <c r="E115" s="43"/>
      <c r="F115" s="43"/>
    </row>
    <row r="116" spans="1:12" x14ac:dyDescent="0.25">
      <c r="A116" s="45"/>
      <c r="B116" s="43"/>
      <c r="C116" s="43"/>
      <c r="D116" s="43"/>
      <c r="E116" s="43"/>
      <c r="F116" s="43"/>
    </row>
    <row r="117" spans="1:12" x14ac:dyDescent="0.25">
      <c r="A117" s="43"/>
      <c r="B117" s="43"/>
      <c r="C117" s="43"/>
      <c r="D117" s="43"/>
      <c r="E117" s="43"/>
      <c r="F117" s="43"/>
    </row>
    <row r="118" spans="1:12" ht="16.5" thickBot="1" x14ac:dyDescent="0.3">
      <c r="A118" s="47"/>
      <c r="B118" s="47"/>
      <c r="C118" s="43"/>
      <c r="D118" s="43"/>
      <c r="E118" s="43"/>
      <c r="F118" s="43"/>
    </row>
    <row r="119" spans="1:12" x14ac:dyDescent="0.25">
      <c r="A119" s="48"/>
      <c r="B119" s="49"/>
      <c r="C119" s="43"/>
      <c r="D119" s="43"/>
      <c r="E119" s="43"/>
      <c r="F119" s="43"/>
    </row>
    <row r="120" spans="1:12" x14ac:dyDescent="0.25">
      <c r="A120" s="50"/>
      <c r="B120" s="51"/>
      <c r="C120" s="43"/>
      <c r="D120" s="43"/>
      <c r="E120" s="43"/>
      <c r="F120" s="43"/>
    </row>
    <row r="121" spans="1:12" x14ac:dyDescent="0.25">
      <c r="A121" s="50"/>
      <c r="B121" s="51"/>
      <c r="C121" s="43"/>
      <c r="D121" s="43"/>
      <c r="E121" s="43"/>
      <c r="F121" s="43"/>
    </row>
    <row r="122" spans="1:12" x14ac:dyDescent="0.25">
      <c r="A122" s="50"/>
      <c r="B122" s="51"/>
      <c r="C122" s="43"/>
      <c r="D122" s="43"/>
      <c r="E122" s="43"/>
      <c r="F122" s="43"/>
    </row>
    <row r="123" spans="1:12" x14ac:dyDescent="0.25">
      <c r="A123" s="50"/>
      <c r="B123" s="51"/>
      <c r="C123" s="43"/>
      <c r="D123" s="43"/>
      <c r="E123" s="43"/>
      <c r="F123" s="43"/>
    </row>
    <row r="124" spans="1:12" x14ac:dyDescent="0.25">
      <c r="A124" s="52"/>
      <c r="B124" s="53"/>
      <c r="C124" s="43"/>
      <c r="D124" s="43"/>
      <c r="E124" s="43"/>
      <c r="F124" s="43"/>
    </row>
    <row r="125" spans="1:12" x14ac:dyDescent="0.25">
      <c r="A125" s="43"/>
      <c r="B125" s="43"/>
      <c r="C125" s="43"/>
      <c r="D125" s="43"/>
      <c r="E125" s="43"/>
      <c r="F125" s="43"/>
    </row>
    <row r="126" spans="1:12" ht="16.5" thickBot="1" x14ac:dyDescent="0.3">
      <c r="A126" s="47"/>
      <c r="B126" s="47"/>
      <c r="C126" s="43"/>
      <c r="D126" s="43"/>
      <c r="E126" s="43"/>
      <c r="F126" s="43"/>
    </row>
    <row r="127" spans="1:12" ht="16.5" thickBot="1" x14ac:dyDescent="0.3">
      <c r="A127" s="54"/>
      <c r="B127" s="54"/>
      <c r="C127" s="43"/>
      <c r="D127" s="43"/>
      <c r="E127" s="43"/>
      <c r="F127" s="43"/>
    </row>
    <row r="128" spans="1:12" x14ac:dyDescent="0.25">
      <c r="A128" s="55"/>
      <c r="B128" s="49"/>
      <c r="C128" s="43"/>
      <c r="D128" s="43"/>
      <c r="E128" s="43"/>
      <c r="F128" s="43"/>
    </row>
    <row r="129" spans="1:6" x14ac:dyDescent="0.25">
      <c r="A129" s="56"/>
      <c r="B129" s="51"/>
      <c r="C129" s="43"/>
      <c r="D129" s="43"/>
      <c r="E129" s="43"/>
      <c r="F129" s="43"/>
    </row>
    <row r="130" spans="1:6" x14ac:dyDescent="0.25">
      <c r="A130" s="56"/>
      <c r="B130" s="51"/>
      <c r="C130" s="43"/>
      <c r="D130" s="43"/>
      <c r="E130" s="43"/>
      <c r="F130" s="43"/>
    </row>
    <row r="131" spans="1:6" x14ac:dyDescent="0.25">
      <c r="A131" s="56"/>
      <c r="B131" s="51"/>
      <c r="C131" s="43"/>
      <c r="D131" s="43"/>
      <c r="E131" s="43"/>
      <c r="F131" s="43"/>
    </row>
    <row r="132" spans="1:6" x14ac:dyDescent="0.25">
      <c r="A132" s="56"/>
      <c r="B132" s="51"/>
      <c r="C132" s="43"/>
      <c r="D132" s="43"/>
      <c r="E132" s="43"/>
      <c r="F132" s="43"/>
    </row>
    <row r="133" spans="1:6" x14ac:dyDescent="0.25">
      <c r="A133" s="57"/>
      <c r="B133" s="58"/>
      <c r="C133" s="43"/>
      <c r="D133" s="43"/>
      <c r="E133" s="43"/>
      <c r="F133" s="43"/>
    </row>
    <row r="134" spans="1:6" x14ac:dyDescent="0.25">
      <c r="A134" s="43"/>
      <c r="B134" s="43"/>
      <c r="C134" s="43"/>
      <c r="D134" s="43"/>
      <c r="E134" s="43"/>
      <c r="F134" s="43"/>
    </row>
    <row r="135" spans="1:6" ht="16.5" thickBot="1" x14ac:dyDescent="0.3">
      <c r="A135" s="47"/>
      <c r="B135" s="47"/>
      <c r="C135" s="43"/>
      <c r="D135" s="43"/>
      <c r="E135" s="43"/>
      <c r="F135" s="43"/>
    </row>
    <row r="136" spans="1:6" ht="16.5" thickBot="1" x14ac:dyDescent="0.3">
      <c r="A136" s="54"/>
      <c r="B136" s="54"/>
      <c r="C136" s="43"/>
      <c r="D136" s="43"/>
      <c r="E136" s="43"/>
      <c r="F136" s="43"/>
    </row>
    <row r="137" spans="1:6" x14ac:dyDescent="0.25">
      <c r="A137" s="59"/>
      <c r="B137" s="49"/>
      <c r="C137" s="43"/>
      <c r="D137" s="43"/>
      <c r="E137" s="43"/>
      <c r="F137" s="43"/>
    </row>
    <row r="138" spans="1:6" x14ac:dyDescent="0.25">
      <c r="A138" s="60"/>
      <c r="B138" s="51"/>
      <c r="C138" s="43"/>
      <c r="D138" s="43"/>
      <c r="E138" s="43"/>
      <c r="F138" s="43"/>
    </row>
    <row r="139" spans="1:6" x14ac:dyDescent="0.25">
      <c r="A139" s="61"/>
      <c r="B139" s="51"/>
      <c r="C139" s="43"/>
      <c r="D139" s="43"/>
      <c r="E139" s="43"/>
      <c r="F139" s="43"/>
    </row>
    <row r="140" spans="1:6" x14ac:dyDescent="0.25">
      <c r="A140" s="62"/>
      <c r="B140" s="51"/>
      <c r="C140" s="43"/>
      <c r="D140" s="43"/>
      <c r="E140" s="43"/>
      <c r="F140" s="43"/>
    </row>
    <row r="141" spans="1:6" x14ac:dyDescent="0.25">
      <c r="A141" s="63"/>
      <c r="B141" s="58"/>
      <c r="C141" s="43"/>
      <c r="D141" s="43"/>
      <c r="E141" s="43"/>
      <c r="F141" s="43"/>
    </row>
    <row r="142" spans="1:6" x14ac:dyDescent="0.25">
      <c r="A142" s="43"/>
      <c r="B142" s="43"/>
      <c r="C142" s="43"/>
      <c r="D142" s="43"/>
      <c r="E142" s="43"/>
      <c r="F142" s="43"/>
    </row>
    <row r="143" spans="1:6" ht="16.5" thickBot="1" x14ac:dyDescent="0.3">
      <c r="A143" s="47"/>
      <c r="B143" s="47"/>
      <c r="C143" s="43"/>
      <c r="D143" s="43"/>
      <c r="E143" s="43"/>
      <c r="F143" s="43"/>
    </row>
    <row r="144" spans="1:6" x14ac:dyDescent="0.25">
      <c r="A144" s="48"/>
      <c r="B144" s="49"/>
      <c r="C144" s="43"/>
      <c r="D144" s="43"/>
      <c r="E144" s="43"/>
      <c r="F144" s="43"/>
    </row>
    <row r="145" spans="1:6" x14ac:dyDescent="0.25">
      <c r="A145" s="50"/>
      <c r="B145" s="51"/>
      <c r="C145" s="43"/>
      <c r="D145" s="43"/>
      <c r="E145" s="43"/>
      <c r="F145" s="43"/>
    </row>
    <row r="146" spans="1:6" x14ac:dyDescent="0.25">
      <c r="A146" s="52"/>
      <c r="B146" s="58"/>
      <c r="C146" s="43"/>
      <c r="D146" s="43"/>
      <c r="E146" s="43"/>
      <c r="F146" s="43"/>
    </row>
    <row r="147" spans="1:6" x14ac:dyDescent="0.25">
      <c r="A147" s="43"/>
      <c r="B147" s="43"/>
      <c r="C147" s="43"/>
      <c r="D147" s="43"/>
      <c r="E147" s="43"/>
      <c r="F147" s="43"/>
    </row>
    <row r="148" spans="1:6" x14ac:dyDescent="0.25">
      <c r="A148" s="43"/>
      <c r="B148" s="43"/>
      <c r="C148" s="43"/>
      <c r="D148" s="43"/>
      <c r="E148" s="43"/>
      <c r="F148" s="43"/>
    </row>
    <row r="149" spans="1:6" x14ac:dyDescent="0.25">
      <c r="A149" s="43"/>
      <c r="B149" s="43"/>
      <c r="C149" s="43"/>
      <c r="D149" s="43"/>
      <c r="E149" s="43"/>
      <c r="F149" s="43"/>
    </row>
    <row r="150" spans="1:6" x14ac:dyDescent="0.25">
      <c r="A150" s="43"/>
      <c r="B150" s="43"/>
      <c r="C150" s="43"/>
      <c r="D150" s="43"/>
      <c r="E150" s="43"/>
      <c r="F150" s="43"/>
    </row>
    <row r="151" spans="1:6" x14ac:dyDescent="0.25">
      <c r="A151" s="43"/>
      <c r="B151" s="43"/>
      <c r="C151" s="43"/>
      <c r="D151" s="43"/>
      <c r="E151" s="43"/>
      <c r="F151" s="43"/>
    </row>
    <row r="152" spans="1:6" x14ac:dyDescent="0.25">
      <c r="A152" s="43"/>
      <c r="B152" s="43"/>
      <c r="C152" s="43"/>
      <c r="D152" s="43"/>
      <c r="E152" s="43"/>
      <c r="F152" s="43"/>
    </row>
    <row r="153" spans="1:6" x14ac:dyDescent="0.25">
      <c r="A153" s="43"/>
      <c r="B153" s="43"/>
      <c r="C153" s="43"/>
      <c r="D153" s="43"/>
      <c r="E153" s="43"/>
      <c r="F153" s="43"/>
    </row>
    <row r="154" spans="1:6" x14ac:dyDescent="0.25">
      <c r="A154" s="43"/>
      <c r="B154" s="43"/>
      <c r="C154" s="43"/>
      <c r="D154" s="43"/>
      <c r="E154" s="43"/>
      <c r="F154" s="43"/>
    </row>
    <row r="155" spans="1:6" x14ac:dyDescent="0.25">
      <c r="A155" s="43"/>
      <c r="B155" s="43"/>
      <c r="C155" s="43"/>
      <c r="D155" s="43"/>
      <c r="E155" s="43"/>
      <c r="F155" s="43"/>
    </row>
    <row r="156" spans="1:6" x14ac:dyDescent="0.25">
      <c r="A156" s="43"/>
      <c r="B156" s="43"/>
      <c r="C156" s="43"/>
      <c r="D156" s="43"/>
      <c r="E156" s="43"/>
      <c r="F156" s="43"/>
    </row>
    <row r="157" spans="1:6" x14ac:dyDescent="0.25">
      <c r="A157" s="43"/>
      <c r="B157" s="43"/>
      <c r="C157" s="43"/>
      <c r="D157" s="43"/>
      <c r="E157" s="43"/>
      <c r="F157" s="43"/>
    </row>
    <row r="158" spans="1:6" x14ac:dyDescent="0.25">
      <c r="A158" s="43"/>
      <c r="B158" s="43"/>
      <c r="C158" s="43"/>
      <c r="D158" s="43"/>
      <c r="E158" s="43"/>
      <c r="F158" s="43"/>
    </row>
    <row r="159" spans="1:6" x14ac:dyDescent="0.25">
      <c r="A159" s="43"/>
      <c r="B159" s="43"/>
      <c r="C159" s="43"/>
      <c r="D159" s="43"/>
      <c r="E159" s="43"/>
      <c r="F159" s="43"/>
    </row>
    <row r="160" spans="1:6" x14ac:dyDescent="0.25">
      <c r="A160" s="43"/>
      <c r="B160" s="43"/>
      <c r="C160" s="43"/>
      <c r="D160" s="43"/>
      <c r="E160" s="43"/>
      <c r="F160" s="43"/>
    </row>
    <row r="161" spans="1:12" x14ac:dyDescent="0.25">
      <c r="A161" s="43"/>
      <c r="B161" s="43"/>
      <c r="C161" s="43"/>
      <c r="D161" s="43"/>
      <c r="E161" s="43"/>
      <c r="F161" s="43"/>
    </row>
    <row r="162" spans="1:12" x14ac:dyDescent="0.25">
      <c r="A162" s="43"/>
      <c r="B162" s="43"/>
      <c r="C162" s="43"/>
      <c r="D162" s="43"/>
      <c r="E162" s="43"/>
      <c r="F162" s="43"/>
    </row>
    <row r="163" spans="1:12" x14ac:dyDescent="0.25">
      <c r="A163" s="43"/>
      <c r="B163" s="43"/>
      <c r="C163" s="43"/>
      <c r="D163" s="43"/>
      <c r="E163" s="43"/>
      <c r="F163" s="43"/>
    </row>
    <row r="164" spans="1:12" x14ac:dyDescent="0.25">
      <c r="A164" s="43"/>
      <c r="B164" s="43"/>
      <c r="C164" s="43"/>
      <c r="D164" s="43"/>
      <c r="E164" s="43"/>
      <c r="F164" s="43"/>
    </row>
    <row r="165" spans="1:12" ht="20.25" x14ac:dyDescent="0.2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</row>
    <row r="166" spans="1:12" x14ac:dyDescent="0.25">
      <c r="A166" s="97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</row>
    <row r="167" spans="1:12" x14ac:dyDescent="0.25">
      <c r="A167" s="84"/>
      <c r="B167" s="98"/>
      <c r="C167" s="98"/>
      <c r="D167" s="98"/>
      <c r="E167" s="98"/>
      <c r="F167" s="98"/>
      <c r="G167" s="85"/>
      <c r="H167" s="65"/>
      <c r="I167" s="65"/>
      <c r="J167" s="65"/>
      <c r="K167" s="65"/>
      <c r="L167" s="65"/>
    </row>
    <row r="168" spans="1:12" ht="16.5" thickBot="1" x14ac:dyDescent="0.3">
      <c r="A168" s="83"/>
      <c r="B168" s="67"/>
      <c r="C168" s="67"/>
      <c r="D168" s="67"/>
      <c r="E168" s="67"/>
      <c r="F168" s="67"/>
      <c r="G168" s="86"/>
      <c r="H168" s="67"/>
      <c r="I168" s="67"/>
      <c r="J168" s="67"/>
      <c r="K168" s="67"/>
      <c r="L168" s="67"/>
    </row>
    <row r="169" spans="1:12" x14ac:dyDescent="0.25">
      <c r="A169" s="68"/>
      <c r="B169" s="68"/>
      <c r="C169" s="68"/>
      <c r="D169" s="68"/>
      <c r="E169" s="68"/>
      <c r="F169" s="68"/>
      <c r="G169" s="87"/>
      <c r="H169" s="68"/>
      <c r="I169" s="68"/>
      <c r="J169" s="68"/>
      <c r="K169" s="68"/>
      <c r="L169" s="68"/>
    </row>
    <row r="170" spans="1:12" x14ac:dyDescent="0.25">
      <c r="A170" s="99"/>
      <c r="B170" s="100"/>
      <c r="C170" s="100"/>
      <c r="D170" s="100"/>
      <c r="E170" s="100"/>
      <c r="F170" s="100"/>
      <c r="G170" s="88"/>
      <c r="H170" s="70"/>
      <c r="I170" s="70"/>
      <c r="J170" s="70"/>
      <c r="K170" s="70"/>
      <c r="L170" s="70"/>
    </row>
    <row r="171" spans="1:12" x14ac:dyDescent="0.25">
      <c r="A171" s="90"/>
      <c r="B171" s="88"/>
      <c r="C171" s="91"/>
      <c r="D171" s="91"/>
      <c r="E171" s="91"/>
      <c r="F171" s="91"/>
      <c r="G171" s="88"/>
      <c r="H171" s="73"/>
      <c r="I171" s="73"/>
      <c r="J171" s="73"/>
      <c r="K171" s="73"/>
      <c r="L171" s="73"/>
    </row>
    <row r="172" spans="1:12" x14ac:dyDescent="0.25">
      <c r="A172" s="99"/>
      <c r="B172" s="100"/>
      <c r="C172" s="100"/>
      <c r="D172" s="100"/>
      <c r="E172" s="100"/>
      <c r="F172" s="100"/>
      <c r="G172" s="88"/>
      <c r="H172" s="70"/>
      <c r="I172" s="70"/>
      <c r="J172" s="70"/>
      <c r="K172" s="70"/>
      <c r="L172" s="70"/>
    </row>
    <row r="173" spans="1:12" x14ac:dyDescent="0.25">
      <c r="A173" s="90"/>
      <c r="B173" s="91"/>
      <c r="C173" s="91"/>
      <c r="D173" s="91"/>
      <c r="E173" s="91"/>
      <c r="F173" s="91"/>
      <c r="G173" s="88"/>
      <c r="H173" s="73"/>
      <c r="I173" s="73"/>
      <c r="J173" s="73"/>
      <c r="K173" s="73"/>
      <c r="L173" s="73"/>
    </row>
    <row r="174" spans="1:12" x14ac:dyDescent="0.25">
      <c r="A174" s="99"/>
      <c r="B174" s="100"/>
      <c r="C174" s="100"/>
      <c r="D174" s="100"/>
      <c r="E174" s="100"/>
      <c r="F174" s="100"/>
      <c r="G174" s="88"/>
      <c r="H174" s="70"/>
      <c r="I174" s="70"/>
      <c r="J174" s="70"/>
      <c r="K174" s="70"/>
      <c r="L174" s="70"/>
    </row>
    <row r="175" spans="1:12" x14ac:dyDescent="0.25">
      <c r="A175" s="90"/>
      <c r="B175" s="91"/>
      <c r="C175" s="91"/>
      <c r="D175" s="91"/>
      <c r="E175" s="91"/>
      <c r="F175" s="91"/>
      <c r="G175" s="88"/>
      <c r="H175" s="73"/>
      <c r="I175" s="73"/>
      <c r="J175" s="73"/>
      <c r="K175" s="73"/>
      <c r="L175" s="73"/>
    </row>
    <row r="176" spans="1:12" x14ac:dyDescent="0.25">
      <c r="A176" s="99"/>
      <c r="B176" s="100"/>
      <c r="C176" s="100"/>
      <c r="D176" s="100"/>
      <c r="E176" s="100"/>
      <c r="F176" s="100"/>
      <c r="G176" s="88"/>
      <c r="H176" s="70"/>
      <c r="I176" s="70"/>
      <c r="J176" s="70"/>
      <c r="K176" s="70"/>
      <c r="L176" s="70"/>
    </row>
    <row r="177" spans="1:12" x14ac:dyDescent="0.25">
      <c r="A177" s="92"/>
      <c r="B177" s="93"/>
      <c r="C177" s="93"/>
      <c r="D177" s="93"/>
      <c r="E177" s="93"/>
      <c r="F177" s="93"/>
      <c r="G177" s="94"/>
      <c r="H177" s="76"/>
      <c r="I177" s="76"/>
      <c r="J177" s="76"/>
      <c r="K177" s="76"/>
      <c r="L177" s="76"/>
    </row>
    <row r="178" spans="1:12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</row>
    <row r="179" spans="1:12" x14ac:dyDescent="0.25">
      <c r="A179" s="46"/>
      <c r="B179" s="46"/>
      <c r="C179" s="46"/>
      <c r="D179" s="46"/>
      <c r="E179" s="46"/>
      <c r="F179" s="46"/>
      <c r="G179" s="95"/>
      <c r="H179" s="46"/>
      <c r="I179" s="46"/>
      <c r="J179" s="46"/>
      <c r="K179" s="46"/>
      <c r="L179" s="46"/>
    </row>
    <row r="180" spans="1:12" x14ac:dyDescent="0.25">
      <c r="A180" s="99"/>
      <c r="B180" s="100"/>
      <c r="C180" s="100"/>
      <c r="D180" s="100"/>
      <c r="E180" s="100"/>
      <c r="F180" s="100"/>
      <c r="G180" s="88"/>
      <c r="H180" s="70"/>
      <c r="I180" s="70"/>
      <c r="J180" s="70"/>
      <c r="K180" s="70"/>
      <c r="L180" s="70"/>
    </row>
    <row r="181" spans="1:12" x14ac:dyDescent="0.25">
      <c r="A181" s="99"/>
      <c r="B181" s="100"/>
      <c r="C181" s="100"/>
      <c r="D181" s="100"/>
      <c r="E181" s="100"/>
      <c r="F181" s="100"/>
      <c r="G181" s="88"/>
      <c r="H181" s="70"/>
      <c r="I181" s="70"/>
      <c r="J181" s="70"/>
      <c r="K181" s="70"/>
      <c r="L181" s="70"/>
    </row>
    <row r="182" spans="1:12" x14ac:dyDescent="0.25">
      <c r="A182" s="90"/>
      <c r="B182" s="89"/>
      <c r="C182" s="89"/>
      <c r="D182" s="89"/>
      <c r="E182" s="89"/>
      <c r="F182" s="89"/>
      <c r="G182" s="88"/>
      <c r="H182" s="78"/>
      <c r="I182" s="78"/>
      <c r="J182" s="78"/>
      <c r="K182" s="78"/>
      <c r="L182" s="78"/>
    </row>
    <row r="183" spans="1:12" x14ac:dyDescent="0.25">
      <c r="A183" s="90"/>
      <c r="B183" s="89"/>
      <c r="C183" s="89"/>
      <c r="D183" s="89"/>
      <c r="E183" s="89"/>
      <c r="F183" s="89"/>
      <c r="G183" s="88"/>
      <c r="H183" s="78"/>
      <c r="I183" s="78"/>
      <c r="J183" s="78"/>
      <c r="K183" s="78"/>
      <c r="L183" s="78"/>
    </row>
    <row r="184" spans="1:12" x14ac:dyDescent="0.25">
      <c r="A184" s="99"/>
      <c r="B184" s="100"/>
      <c r="C184" s="100"/>
      <c r="D184" s="100"/>
      <c r="E184" s="100"/>
      <c r="F184" s="100"/>
      <c r="G184" s="88"/>
      <c r="H184" s="70"/>
      <c r="I184" s="70"/>
      <c r="J184" s="70"/>
      <c r="K184" s="70"/>
      <c r="L184" s="70"/>
    </row>
    <row r="185" spans="1:12" x14ac:dyDescent="0.25">
      <c r="A185" s="92"/>
      <c r="B185" s="93"/>
      <c r="C185" s="93"/>
      <c r="D185" s="93"/>
      <c r="E185" s="93"/>
      <c r="F185" s="93"/>
      <c r="G185" s="94"/>
      <c r="H185" s="76"/>
      <c r="I185" s="76"/>
      <c r="J185" s="76"/>
      <c r="K185" s="76"/>
      <c r="L185" s="76"/>
    </row>
    <row r="186" spans="1:12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</row>
    <row r="187" spans="1:12" x14ac:dyDescent="0.25">
      <c r="A187" s="46"/>
      <c r="B187" s="46"/>
      <c r="C187" s="46"/>
      <c r="D187" s="46"/>
      <c r="E187" s="46"/>
      <c r="F187" s="46"/>
      <c r="G187" s="95"/>
      <c r="H187" s="46"/>
      <c r="I187" s="46"/>
      <c r="J187" s="46"/>
      <c r="K187" s="46"/>
      <c r="L187" s="46"/>
    </row>
    <row r="188" spans="1:12" x14ac:dyDescent="0.25">
      <c r="A188" s="99"/>
      <c r="B188" s="100"/>
      <c r="C188" s="100"/>
      <c r="D188" s="100"/>
      <c r="E188" s="100"/>
      <c r="F188" s="100"/>
      <c r="G188" s="88"/>
      <c r="H188" s="70"/>
      <c r="I188" s="70"/>
      <c r="J188" s="70"/>
      <c r="K188" s="70"/>
      <c r="L188" s="70"/>
    </row>
    <row r="189" spans="1:12" x14ac:dyDescent="0.25">
      <c r="A189" s="90"/>
      <c r="B189" s="89"/>
      <c r="C189" s="89"/>
      <c r="D189" s="89"/>
      <c r="E189" s="89"/>
      <c r="F189" s="89"/>
      <c r="G189" s="88"/>
      <c r="H189" s="78"/>
      <c r="I189" s="78"/>
      <c r="J189" s="78"/>
      <c r="K189" s="78"/>
      <c r="L189" s="78"/>
    </row>
    <row r="190" spans="1:12" x14ac:dyDescent="0.25">
      <c r="A190" s="99"/>
      <c r="B190" s="100"/>
      <c r="C190" s="100"/>
      <c r="D190" s="100"/>
      <c r="E190" s="100"/>
      <c r="F190" s="100"/>
      <c r="G190" s="88"/>
      <c r="H190" s="70"/>
      <c r="I190" s="70"/>
      <c r="J190" s="70"/>
      <c r="K190" s="70"/>
      <c r="L190" s="70"/>
    </row>
    <row r="191" spans="1:12" x14ac:dyDescent="0.25">
      <c r="A191" s="92"/>
      <c r="B191" s="96"/>
      <c r="C191" s="96"/>
      <c r="D191" s="96"/>
      <c r="E191" s="96"/>
      <c r="F191" s="96"/>
      <c r="G191" s="94"/>
      <c r="H191" s="80"/>
      <c r="I191" s="80"/>
      <c r="J191" s="80"/>
      <c r="K191" s="80"/>
      <c r="L191" s="80"/>
    </row>
    <row r="192" spans="1:12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</row>
    <row r="193" spans="1:12" x14ac:dyDescent="0.25">
      <c r="A193" s="46"/>
      <c r="B193" s="46"/>
      <c r="C193" s="46"/>
      <c r="D193" s="46"/>
      <c r="E193" s="46"/>
      <c r="F193" s="46"/>
      <c r="G193" s="95"/>
      <c r="H193" s="46"/>
      <c r="I193" s="46"/>
      <c r="J193" s="46"/>
      <c r="K193" s="46"/>
      <c r="L193" s="46"/>
    </row>
    <row r="194" spans="1:12" x14ac:dyDescent="0.25">
      <c r="A194" s="88"/>
      <c r="B194" s="91"/>
      <c r="C194" s="91"/>
      <c r="D194" s="91"/>
      <c r="E194" s="91"/>
      <c r="F194" s="91"/>
      <c r="G194" s="88"/>
      <c r="H194" s="73"/>
      <c r="I194" s="73"/>
      <c r="J194" s="73"/>
      <c r="K194" s="73"/>
      <c r="L194" s="73"/>
    </row>
    <row r="195" spans="1:12" x14ac:dyDescent="0.25">
      <c r="A195" s="88"/>
      <c r="B195" s="91"/>
      <c r="C195" s="91"/>
      <c r="D195" s="91"/>
      <c r="E195" s="91"/>
      <c r="F195" s="91"/>
      <c r="G195" s="88"/>
      <c r="H195" s="73"/>
      <c r="I195" s="73"/>
      <c r="J195" s="73"/>
      <c r="K195" s="73"/>
      <c r="L195" s="73"/>
    </row>
    <row r="196" spans="1:12" x14ac:dyDescent="0.25">
      <c r="A196" s="88"/>
      <c r="B196" s="91"/>
      <c r="C196" s="91"/>
      <c r="D196" s="91"/>
      <c r="E196" s="91"/>
      <c r="F196" s="91"/>
      <c r="G196" s="88"/>
      <c r="H196" s="73"/>
      <c r="I196" s="73"/>
      <c r="J196" s="73"/>
      <c r="K196" s="73"/>
      <c r="L196" s="73"/>
    </row>
    <row r="197" spans="1:12" x14ac:dyDescent="0.25">
      <c r="A197" s="88"/>
      <c r="B197" s="91"/>
      <c r="C197" s="91"/>
      <c r="D197" s="91"/>
      <c r="E197" s="91"/>
      <c r="F197" s="91"/>
      <c r="G197" s="88"/>
      <c r="H197" s="73"/>
      <c r="I197" s="73"/>
      <c r="J197" s="73"/>
      <c r="K197" s="73"/>
      <c r="L197" s="73"/>
    </row>
    <row r="198" spans="1:12" x14ac:dyDescent="0.25">
      <c r="A198" s="94"/>
      <c r="B198" s="93"/>
      <c r="C198" s="93"/>
      <c r="D198" s="93"/>
      <c r="E198" s="93"/>
      <c r="F198" s="93"/>
      <c r="G198" s="94"/>
      <c r="H198" s="76"/>
      <c r="I198" s="76"/>
      <c r="J198" s="76"/>
      <c r="K198" s="76"/>
      <c r="L198" s="76"/>
    </row>
    <row r="199" spans="1:12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</row>
    <row r="200" spans="1:12" x14ac:dyDescent="0.25">
      <c r="A200" s="46"/>
      <c r="B200" s="46"/>
      <c r="C200" s="46"/>
      <c r="D200" s="46"/>
      <c r="E200" s="46"/>
      <c r="F200" s="46"/>
      <c r="G200" s="95"/>
      <c r="H200" s="46"/>
      <c r="I200" s="46"/>
      <c r="J200" s="46"/>
      <c r="K200" s="46"/>
      <c r="L200" s="46"/>
    </row>
    <row r="201" spans="1:12" x14ac:dyDescent="0.25">
      <c r="A201" s="99"/>
      <c r="B201" s="100"/>
      <c r="C201" s="100"/>
      <c r="D201" s="100"/>
      <c r="E201" s="100"/>
      <c r="F201" s="100"/>
      <c r="G201" s="88"/>
      <c r="H201" s="70"/>
      <c r="I201" s="70"/>
      <c r="J201" s="70"/>
      <c r="K201" s="70"/>
      <c r="L201" s="70"/>
    </row>
    <row r="202" spans="1:12" x14ac:dyDescent="0.25">
      <c r="A202" s="88"/>
      <c r="B202" s="89"/>
      <c r="C202" s="89"/>
      <c r="D202" s="89"/>
      <c r="E202" s="89"/>
      <c r="F202" s="89"/>
      <c r="G202" s="88"/>
      <c r="H202" s="78"/>
      <c r="I202" s="78"/>
      <c r="J202" s="78"/>
      <c r="K202" s="78"/>
      <c r="L202" s="78"/>
    </row>
    <row r="203" spans="1:12" x14ac:dyDescent="0.25">
      <c r="A203" s="88"/>
      <c r="B203" s="89"/>
      <c r="C203" s="89"/>
      <c r="D203" s="89"/>
      <c r="E203" s="89"/>
      <c r="F203" s="89"/>
      <c r="G203" s="88"/>
      <c r="H203" s="78"/>
      <c r="I203" s="78"/>
      <c r="J203" s="78"/>
      <c r="K203" s="78"/>
      <c r="L203" s="78"/>
    </row>
    <row r="204" spans="1:12" x14ac:dyDescent="0.25">
      <c r="A204" s="92"/>
      <c r="B204" s="96"/>
      <c r="C204" s="96"/>
      <c r="D204" s="96"/>
      <c r="E204" s="96"/>
      <c r="F204" s="96"/>
      <c r="G204" s="94"/>
      <c r="H204" s="80"/>
      <c r="I204" s="80"/>
      <c r="J204" s="80"/>
      <c r="K204" s="80"/>
      <c r="L204" s="80"/>
    </row>
    <row r="205" spans="1:12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</row>
    <row r="206" spans="1:12" x14ac:dyDescent="0.25">
      <c r="A206" s="47"/>
      <c r="B206" s="47"/>
      <c r="C206" s="47"/>
      <c r="D206" s="47"/>
      <c r="E206" s="47"/>
      <c r="F206" s="47"/>
      <c r="G206" s="84"/>
      <c r="H206" s="47"/>
      <c r="I206" s="47"/>
      <c r="J206" s="47"/>
      <c r="K206" s="47"/>
      <c r="L206" s="47"/>
    </row>
    <row r="207" spans="1:12" x14ac:dyDescent="0.25">
      <c r="A207" s="81"/>
      <c r="B207" s="82"/>
      <c r="C207" s="82"/>
      <c r="D207" s="82"/>
      <c r="E207" s="82"/>
      <c r="F207" s="82"/>
      <c r="G207" s="88"/>
      <c r="H207" s="82"/>
      <c r="I207" s="82"/>
      <c r="J207" s="82"/>
      <c r="K207" s="82"/>
      <c r="L207" s="101"/>
    </row>
    <row r="208" spans="1:12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</row>
    <row r="209" spans="1:12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</row>
    <row r="210" spans="1:12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</row>
    <row r="211" spans="1:12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</row>
    <row r="212" spans="1:12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</row>
    <row r="213" spans="1:12" x14ac:dyDescent="0.2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</row>
    <row r="214" spans="1:12" x14ac:dyDescent="0.2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</row>
    <row r="215" spans="1:12" x14ac:dyDescent="0.2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</row>
    <row r="216" spans="1:12" x14ac:dyDescent="0.2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</row>
    <row r="217" spans="1:12" x14ac:dyDescent="0.2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</row>
    <row r="218" spans="1:12" x14ac:dyDescent="0.2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</row>
    <row r="219" spans="1:12" x14ac:dyDescent="0.2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</row>
    <row r="220" spans="1:12" x14ac:dyDescent="0.25">
      <c r="A220" s="105"/>
      <c r="B220" s="105"/>
      <c r="C220" s="105"/>
      <c r="D220" s="105"/>
    </row>
    <row r="221" spans="1:12" x14ac:dyDescent="0.25">
      <c r="A221" s="102"/>
      <c r="B221" s="102"/>
      <c r="C221" s="102"/>
      <c r="D221" s="109"/>
      <c r="E221" s="109"/>
      <c r="F221" s="112"/>
    </row>
    <row r="222" spans="1:12" ht="20.25" x14ac:dyDescent="0.3">
      <c r="A222" s="107"/>
      <c r="B222" s="103"/>
      <c r="C222" s="108"/>
      <c r="D222" s="110"/>
      <c r="E222" s="114"/>
      <c r="F222" s="115"/>
    </row>
    <row r="223" spans="1:12" x14ac:dyDescent="0.25">
      <c r="A223" s="104"/>
      <c r="B223" s="104"/>
      <c r="C223" s="104"/>
      <c r="D223" s="111"/>
      <c r="E223" s="111"/>
      <c r="F223" s="113"/>
    </row>
    <row r="224" spans="1:12" x14ac:dyDescent="0.25">
      <c r="A224" s="106"/>
      <c r="B224" s="95"/>
      <c r="C224" s="95"/>
      <c r="D224" s="95"/>
      <c r="E224" s="95"/>
      <c r="F224" s="95"/>
    </row>
    <row r="225" spans="1:12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</row>
    <row r="226" spans="1:12" x14ac:dyDescent="0.25">
      <c r="A226" s="84"/>
      <c r="B226" s="84"/>
      <c r="C226" s="84"/>
      <c r="D226" s="84"/>
      <c r="E226" s="84"/>
      <c r="F226" s="84"/>
    </row>
    <row r="227" spans="1:12" x14ac:dyDescent="0.25">
      <c r="A227" s="84"/>
      <c r="B227" s="84"/>
      <c r="C227" s="84"/>
      <c r="D227" s="84"/>
      <c r="E227" s="84"/>
    </row>
    <row r="228" spans="1:12" x14ac:dyDescent="0.2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</row>
    <row r="229" spans="1:12" x14ac:dyDescent="0.25">
      <c r="A229" s="43"/>
      <c r="B229" s="43"/>
    </row>
    <row r="230" spans="1:12" x14ac:dyDescent="0.2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</row>
    <row r="231" spans="1:12" x14ac:dyDescent="0.2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</row>
    <row r="232" spans="1:12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</row>
    <row r="233" spans="1:12" x14ac:dyDescent="0.2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</row>
    <row r="234" spans="1:12" x14ac:dyDescent="0.2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</row>
    <row r="235" spans="1:12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</row>
    <row r="236" spans="1:12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</row>
    <row r="237" spans="1:12" x14ac:dyDescent="0.2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</row>
    <row r="238" spans="1:12" x14ac:dyDescent="0.2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</row>
    <row r="239" spans="1:12" x14ac:dyDescent="0.2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</row>
    <row r="240" spans="1:12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</row>
    <row r="241" spans="1:11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</row>
    <row r="300" spans="1:4" x14ac:dyDescent="0.25">
      <c r="A300" s="43"/>
      <c r="B300" s="43"/>
      <c r="C300" s="43"/>
      <c r="D300" s="43"/>
    </row>
    <row r="301" spans="1:4" x14ac:dyDescent="0.25">
      <c r="A301" s="43"/>
      <c r="B301" s="43"/>
      <c r="C301" s="43"/>
      <c r="D301" s="43"/>
    </row>
    <row r="302" spans="1:4" x14ac:dyDescent="0.25">
      <c r="A302" s="43"/>
      <c r="B302" s="43"/>
      <c r="C302" s="43"/>
      <c r="D302" s="43"/>
    </row>
    <row r="303" spans="1:4" x14ac:dyDescent="0.25">
      <c r="A303" s="43"/>
      <c r="B303" s="43"/>
      <c r="C303" s="43"/>
    </row>
    <row r="304" spans="1:4" x14ac:dyDescent="0.25">
      <c r="A304" s="43"/>
      <c r="B304" s="43"/>
      <c r="C304" s="43"/>
    </row>
    <row r="305" spans="1:5" x14ac:dyDescent="0.25">
      <c r="A305" s="43"/>
      <c r="B305" s="43"/>
      <c r="C305" s="43"/>
    </row>
    <row r="306" spans="1:5" x14ac:dyDescent="0.25">
      <c r="A306" s="43"/>
      <c r="B306" s="43"/>
      <c r="C306" s="43"/>
    </row>
    <row r="307" spans="1:5" x14ac:dyDescent="0.25">
      <c r="A307" s="43"/>
      <c r="B307" s="43"/>
      <c r="C307" s="43"/>
    </row>
    <row r="308" spans="1:5" x14ac:dyDescent="0.25">
      <c r="A308" s="43"/>
      <c r="B308" s="43"/>
      <c r="C308" s="43"/>
      <c r="D308" s="43"/>
    </row>
    <row r="309" spans="1:5" x14ac:dyDescent="0.25">
      <c r="A309" s="43"/>
      <c r="B309" s="43"/>
      <c r="C309" s="43"/>
      <c r="D309" s="43"/>
    </row>
    <row r="310" spans="1:5" x14ac:dyDescent="0.25">
      <c r="A310" s="43"/>
      <c r="B310" s="43"/>
      <c r="C310" s="43"/>
      <c r="D310" s="43"/>
    </row>
    <row r="311" spans="1:5" x14ac:dyDescent="0.25">
      <c r="A311" s="43"/>
      <c r="B311" s="43"/>
      <c r="C311" s="43"/>
      <c r="D311" s="43"/>
    </row>
    <row r="312" spans="1:5" x14ac:dyDescent="0.25">
      <c r="A312" s="43"/>
      <c r="B312" s="43"/>
      <c r="C312" s="43"/>
      <c r="D312" s="43"/>
    </row>
    <row r="313" spans="1:5" x14ac:dyDescent="0.25">
      <c r="A313" s="43"/>
      <c r="B313" s="43"/>
      <c r="C313" s="43"/>
      <c r="D313" s="43"/>
      <c r="E313" s="1"/>
    </row>
    <row r="314" spans="1:5" x14ac:dyDescent="0.25">
      <c r="A314" s="43"/>
      <c r="B314" s="43"/>
      <c r="C314" s="43"/>
      <c r="D314" s="43"/>
    </row>
    <row r="315" spans="1:5" x14ac:dyDescent="0.25">
      <c r="A315" s="43"/>
      <c r="B315" s="43"/>
      <c r="C315" s="43"/>
      <c r="D315" s="43"/>
    </row>
    <row r="316" spans="1:5" x14ac:dyDescent="0.25">
      <c r="A316" s="43"/>
      <c r="B316" s="43"/>
      <c r="C316" s="43"/>
      <c r="D316" s="43"/>
    </row>
    <row r="317" spans="1:5" x14ac:dyDescent="0.25">
      <c r="A317" s="43"/>
      <c r="B317" s="43"/>
      <c r="C317" s="43"/>
      <c r="D317" s="43"/>
    </row>
    <row r="318" spans="1:5" x14ac:dyDescent="0.25">
      <c r="A318" s="43"/>
      <c r="B318" s="43"/>
      <c r="C318" s="43"/>
      <c r="D318" s="43"/>
    </row>
    <row r="319" spans="1:5" x14ac:dyDescent="0.25">
      <c r="A319" s="43"/>
      <c r="B319" s="43"/>
      <c r="C319" s="43"/>
      <c r="D319" s="43"/>
    </row>
    <row r="320" spans="1:5" x14ac:dyDescent="0.25">
      <c r="A320" s="43"/>
      <c r="B320" s="43"/>
      <c r="C320" s="43"/>
      <c r="D320" s="43"/>
    </row>
    <row r="321" spans="1:4" x14ac:dyDescent="0.25">
      <c r="A321" s="43"/>
      <c r="B321" s="43"/>
      <c r="C321" s="43"/>
      <c r="D321" s="43"/>
    </row>
    <row r="322" spans="1:4" x14ac:dyDescent="0.25">
      <c r="A322" s="43"/>
      <c r="B322" s="43"/>
      <c r="C322" s="43"/>
      <c r="D322" s="43"/>
    </row>
    <row r="323" spans="1:4" x14ac:dyDescent="0.25">
      <c r="A323" s="43"/>
      <c r="B323" s="43"/>
      <c r="C323" s="43"/>
      <c r="D323" s="43"/>
    </row>
    <row r="324" spans="1:4" x14ac:dyDescent="0.25">
      <c r="A324" s="43"/>
      <c r="B324" s="43"/>
      <c r="C324" s="43"/>
      <c r="D324" s="43"/>
    </row>
    <row r="325" spans="1:4" x14ac:dyDescent="0.25">
      <c r="A325" s="43"/>
      <c r="B325" s="43"/>
      <c r="C325" s="43"/>
      <c r="D325" s="43"/>
    </row>
    <row r="326" spans="1:4" x14ac:dyDescent="0.25">
      <c r="A326" s="43"/>
      <c r="B326" s="43"/>
      <c r="C326" s="43"/>
      <c r="D326" s="43"/>
    </row>
    <row r="327" spans="1:4" x14ac:dyDescent="0.25">
      <c r="A327" s="43"/>
      <c r="B327" s="43"/>
      <c r="C327" s="43"/>
      <c r="D327" s="43"/>
    </row>
    <row r="328" spans="1:4" x14ac:dyDescent="0.25">
      <c r="A328" s="43"/>
      <c r="B328" s="43"/>
      <c r="C328" s="43"/>
      <c r="D328" s="43"/>
    </row>
    <row r="329" spans="1:4" x14ac:dyDescent="0.25">
      <c r="A329" s="43"/>
      <c r="B329" s="43"/>
      <c r="C329" s="43"/>
      <c r="D329" s="43"/>
    </row>
    <row r="330" spans="1:4" x14ac:dyDescent="0.25">
      <c r="A330" s="43"/>
      <c r="B330" s="43"/>
      <c r="C330" s="43"/>
      <c r="D330" s="43"/>
    </row>
    <row r="331" spans="1:4" x14ac:dyDescent="0.25">
      <c r="A331" s="43"/>
      <c r="B331" s="43"/>
      <c r="C331" s="43"/>
      <c r="D331" s="43"/>
    </row>
    <row r="332" spans="1:4" x14ac:dyDescent="0.25">
      <c r="A332" s="43"/>
      <c r="B332" s="43"/>
      <c r="C332" s="43"/>
      <c r="D332" s="43"/>
    </row>
    <row r="333" spans="1:4" x14ac:dyDescent="0.25">
      <c r="A333" s="43"/>
      <c r="B333" s="43"/>
      <c r="C333" s="43"/>
      <c r="D333" s="43"/>
    </row>
    <row r="334" spans="1:4" x14ac:dyDescent="0.25">
      <c r="A334" s="43"/>
      <c r="B334" s="43"/>
      <c r="C334" s="43"/>
      <c r="D334" s="43"/>
    </row>
    <row r="335" spans="1:4" x14ac:dyDescent="0.25">
      <c r="A335" s="43"/>
      <c r="B335" s="43"/>
      <c r="C335" s="43"/>
      <c r="D335" s="43"/>
    </row>
    <row r="336" spans="1:4" x14ac:dyDescent="0.25">
      <c r="A336" s="43"/>
      <c r="B336" s="43"/>
      <c r="C336" s="43"/>
      <c r="D336" s="43"/>
    </row>
    <row r="337" spans="1:4" x14ac:dyDescent="0.25">
      <c r="A337" s="43"/>
      <c r="B337" s="43"/>
      <c r="C337" s="43"/>
      <c r="D337" s="43"/>
    </row>
    <row r="338" spans="1:4" x14ac:dyDescent="0.25">
      <c r="A338" s="43"/>
      <c r="B338" s="43"/>
      <c r="C338" s="43"/>
      <c r="D338" s="43"/>
    </row>
    <row r="339" spans="1:4" x14ac:dyDescent="0.25">
      <c r="A339" s="43"/>
      <c r="B339" s="43"/>
      <c r="C339" s="43"/>
      <c r="D339" s="43"/>
    </row>
    <row r="340" spans="1:4" x14ac:dyDescent="0.25">
      <c r="A340" s="43"/>
      <c r="B340" s="43"/>
      <c r="C340" s="43"/>
      <c r="D340" s="43"/>
    </row>
    <row r="341" spans="1:4" x14ac:dyDescent="0.25">
      <c r="A341" s="43"/>
      <c r="B341" s="43"/>
      <c r="C341" s="43"/>
      <c r="D341" s="43"/>
    </row>
    <row r="342" spans="1:4" x14ac:dyDescent="0.25">
      <c r="A342" s="43"/>
      <c r="B342" s="43"/>
      <c r="C342" s="43"/>
      <c r="D342" s="43"/>
    </row>
    <row r="343" spans="1:4" x14ac:dyDescent="0.25">
      <c r="A343" s="43"/>
      <c r="B343" s="43"/>
      <c r="C343" s="43"/>
      <c r="D343" s="43"/>
    </row>
    <row r="344" spans="1:4" x14ac:dyDescent="0.25">
      <c r="A344" s="43"/>
      <c r="B344" s="43"/>
      <c r="C344" s="43"/>
      <c r="D344" s="43"/>
    </row>
    <row r="345" spans="1:4" x14ac:dyDescent="0.25">
      <c r="A345" s="43"/>
      <c r="B345" s="43"/>
      <c r="C345" s="43"/>
      <c r="D345" s="43"/>
    </row>
    <row r="346" spans="1:4" x14ac:dyDescent="0.25">
      <c r="A346" s="43"/>
      <c r="B346" s="43"/>
      <c r="C346" s="43"/>
      <c r="D346" s="43"/>
    </row>
    <row r="347" spans="1:4" x14ac:dyDescent="0.25">
      <c r="A347" s="43"/>
      <c r="B347" s="43"/>
      <c r="C347" s="43"/>
      <c r="D347" s="43"/>
    </row>
    <row r="348" spans="1:4" x14ac:dyDescent="0.25">
      <c r="A348" s="43"/>
      <c r="B348" s="43"/>
      <c r="C348" s="43"/>
      <c r="D348" s="43"/>
    </row>
    <row r="349" spans="1:4" x14ac:dyDescent="0.25">
      <c r="A349" s="43"/>
      <c r="B349" s="43"/>
      <c r="C349" s="43"/>
      <c r="D349" s="43"/>
    </row>
    <row r="350" spans="1:4" x14ac:dyDescent="0.25">
      <c r="A350" s="43"/>
      <c r="B350" s="43"/>
      <c r="C350" s="43"/>
    </row>
    <row r="351" spans="1:4" x14ac:dyDescent="0.25">
      <c r="A351" s="43"/>
      <c r="B351" s="43"/>
      <c r="C351" s="43"/>
    </row>
    <row r="352" spans="1:4" x14ac:dyDescent="0.25">
      <c r="A352" s="43"/>
      <c r="B352" s="43"/>
      <c r="C352" s="43"/>
    </row>
    <row r="353" spans="1:3" x14ac:dyDescent="0.25">
      <c r="A353" s="43"/>
      <c r="B353" s="43"/>
      <c r="C353" s="43"/>
    </row>
    <row r="354" spans="1:3" x14ac:dyDescent="0.25">
      <c r="A354" s="43"/>
      <c r="B354" s="43"/>
      <c r="C354" s="43"/>
    </row>
    <row r="355" spans="1:3" x14ac:dyDescent="0.25">
      <c r="A355" s="245"/>
      <c r="B355" s="245"/>
      <c r="C355" s="245"/>
    </row>
    <row r="356" spans="1:3" x14ac:dyDescent="0.25">
      <c r="A356" s="245"/>
      <c r="B356" s="245"/>
      <c r="C356" s="245"/>
    </row>
    <row r="357" spans="1:3" x14ac:dyDescent="0.25">
      <c r="A357" s="245"/>
      <c r="B357" s="245"/>
      <c r="C357" s="245"/>
    </row>
    <row r="358" spans="1:3" x14ac:dyDescent="0.25">
      <c r="A358" s="245"/>
      <c r="B358" s="245"/>
      <c r="C358" s="245"/>
    </row>
    <row r="359" spans="1:3" x14ac:dyDescent="0.25">
      <c r="A359" s="245"/>
      <c r="B359" s="245"/>
      <c r="C359" s="245"/>
    </row>
    <row r="360" spans="1:3" x14ac:dyDescent="0.25">
      <c r="A360" s="269"/>
      <c r="B360" s="266"/>
      <c r="C360" s="272"/>
    </row>
    <row r="361" spans="1:3" x14ac:dyDescent="0.25">
      <c r="A361" s="270"/>
      <c r="B361" s="267"/>
      <c r="C361" s="273"/>
    </row>
    <row r="362" spans="1:3" x14ac:dyDescent="0.25">
      <c r="A362" s="270"/>
      <c r="B362" s="267"/>
      <c r="C362" s="273"/>
    </row>
    <row r="363" spans="1:3" x14ac:dyDescent="0.25">
      <c r="A363" s="270"/>
      <c r="B363" s="267"/>
      <c r="C363" s="273"/>
    </row>
    <row r="364" spans="1:3" x14ac:dyDescent="0.25">
      <c r="A364" s="271"/>
      <c r="B364" s="268"/>
      <c r="C364" s="274"/>
    </row>
    <row r="365" spans="1:3" x14ac:dyDescent="0.25">
      <c r="A365" s="8"/>
    </row>
    <row r="366" spans="1:3" x14ac:dyDescent="0.25">
      <c r="A366" s="8"/>
    </row>
    <row r="367" spans="1:3" x14ac:dyDescent="0.25">
      <c r="A367" s="8"/>
    </row>
    <row r="368" spans="1:3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2"/>
    </row>
    <row r="372" spans="1:1" ht="16.5" thickBot="1" x14ac:dyDescent="0.3">
      <c r="A372" s="9"/>
    </row>
    <row r="373" spans="1:1" ht="16.5" thickTop="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Instructions</vt:lpstr>
      <vt:lpstr>Assumptions</vt:lpstr>
      <vt:lpstr>Balance Sheet &amp; Forecast</vt:lpstr>
      <vt:lpstr>Income Statement &amp; Forecast</vt:lpstr>
      <vt:lpstr>Cash Flow Statement &amp; Forecast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Alam</dc:creator>
  <cp:lastModifiedBy>Amaan Alam</cp:lastModifiedBy>
  <dcterms:created xsi:type="dcterms:W3CDTF">2026-05-07T21:22:00Z</dcterms:created>
  <dcterms:modified xsi:type="dcterms:W3CDTF">2026-05-09T17:45:26Z</dcterms:modified>
</cp:coreProperties>
</file>