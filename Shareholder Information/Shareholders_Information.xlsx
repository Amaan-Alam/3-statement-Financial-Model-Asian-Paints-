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esktop\Finance Projects\Building 3-statement Financial Model\Excel\"/>
    </mc:Choice>
  </mc:AlternateContent>
  <xr:revisionPtr revIDLastSave="0" documentId="13_ncr:1_{387F416B-C3D0-488C-871E-6B6ACD83DE20}" xr6:coauthVersionLast="47" xr6:coauthVersionMax="47" xr10:uidLastSave="{00000000-0000-0000-0000-000000000000}"/>
  <bookViews>
    <workbookView xWindow="-120" yWindow="-120" windowWidth="23280" windowHeight="14880" activeTab="5" xr2:uid="{22840876-F4D2-49CE-B44F-CA5698483BA4}"/>
  </bookViews>
  <sheets>
    <sheet name="Cover Page" sheetId="2" r:id="rId1"/>
    <sheet name="Dividends" sheetId="4" r:id="rId2"/>
    <sheet name="Stock Price" sheetId="5" r:id="rId3"/>
    <sheet name="Shareholding" sheetId="6" r:id="rId4"/>
    <sheet name="Top 10" sheetId="8" r:id="rId5"/>
    <sheet name="Distribution" sheetId="7" r:id="rId6"/>
    <sheet name="__tracelight_scratchpad__" sheetId="3" state="very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8" l="1"/>
  <c r="G45" i="8"/>
  <c r="F31" i="8"/>
  <c r="G31" i="8"/>
  <c r="F17" i="8"/>
  <c r="G17" i="8"/>
  <c r="C31" i="7"/>
  <c r="D31" i="7"/>
  <c r="E31" i="7"/>
  <c r="F31" i="7"/>
  <c r="G31" i="7"/>
  <c r="H31" i="7"/>
  <c r="I31" i="7"/>
  <c r="J31" i="7"/>
  <c r="K31" i="7"/>
  <c r="L31" i="7"/>
  <c r="C17" i="7"/>
  <c r="D17" i="7"/>
  <c r="E17" i="7"/>
  <c r="F17" i="7"/>
  <c r="G17" i="7"/>
  <c r="H17" i="7"/>
  <c r="I17" i="7"/>
  <c r="J17" i="7"/>
  <c r="K17" i="7"/>
  <c r="L17" i="7"/>
  <c r="C31" i="6"/>
  <c r="D31" i="6"/>
  <c r="E31" i="6"/>
  <c r="F31" i="6"/>
  <c r="G31" i="6"/>
  <c r="H31" i="6"/>
  <c r="I31" i="6"/>
  <c r="J31" i="6"/>
  <c r="K31" i="6"/>
  <c r="L31" i="6"/>
  <c r="C30" i="6"/>
  <c r="D30" i="6"/>
  <c r="E30" i="6"/>
  <c r="F30" i="6"/>
  <c r="G30" i="6"/>
  <c r="H30" i="6"/>
  <c r="I30" i="6"/>
  <c r="J30" i="6"/>
  <c r="K30" i="6"/>
  <c r="L30" i="6"/>
  <c r="C28" i="6"/>
  <c r="D28" i="6"/>
  <c r="E28" i="6"/>
  <c r="F28" i="6"/>
  <c r="G28" i="6"/>
  <c r="H28" i="6"/>
  <c r="I28" i="6"/>
  <c r="J28" i="6"/>
  <c r="K28" i="6"/>
  <c r="L28" i="6"/>
  <c r="C19" i="6"/>
  <c r="D19" i="6"/>
  <c r="E19" i="6"/>
  <c r="F19" i="6"/>
  <c r="G19" i="6"/>
  <c r="H19" i="6"/>
  <c r="I19" i="6"/>
  <c r="J19" i="6"/>
  <c r="K19" i="6"/>
  <c r="L19" i="6"/>
  <c r="C11" i="6"/>
  <c r="D11" i="6"/>
  <c r="E11" i="6"/>
  <c r="F11" i="6"/>
  <c r="G11" i="6"/>
  <c r="H11" i="6"/>
  <c r="I11" i="6"/>
  <c r="J11" i="6"/>
  <c r="K11" i="6"/>
  <c r="L11" i="6"/>
  <c r="K36" i="5"/>
  <c r="J36" i="5"/>
  <c r="I36" i="5"/>
  <c r="H36" i="5"/>
  <c r="F36" i="5"/>
  <c r="E36" i="5"/>
  <c r="D36" i="5"/>
  <c r="C36" i="5"/>
  <c r="K19" i="5"/>
  <c r="J19" i="5"/>
  <c r="I19" i="5"/>
  <c r="H19" i="5"/>
  <c r="F19" i="5"/>
  <c r="E19" i="5"/>
  <c r="D19" i="5"/>
  <c r="C19" i="5"/>
  <c r="E17" i="4"/>
  <c r="F17" i="4"/>
  <c r="F16" i="4"/>
  <c r="E12" i="4"/>
  <c r="E13" i="4"/>
  <c r="E14" i="4"/>
  <c r="E15" i="4"/>
  <c r="E16" i="4"/>
  <c r="H47" i="2"/>
  <c r="D40" i="2"/>
  <c r="E40" i="2"/>
  <c r="F40" i="2"/>
  <c r="G40" i="2"/>
  <c r="H40" i="2"/>
  <c r="C13" i="2"/>
</calcChain>
</file>

<file path=xl/sharedStrings.xml><?xml version="1.0" encoding="utf-8"?>
<sst xmlns="http://schemas.openxmlformats.org/spreadsheetml/2006/main" count="383" uniqueCount="210">
  <si>
    <t>ASIAN PAINTS LIMITED</t>
  </si>
  <si>
    <t>General Shareholder Information – 5-Year Extract for Financial Analysis</t>
  </si>
  <si>
    <t>1. Company Identification</t>
  </si>
  <si>
    <t>Corporate Identification Number (CIN)</t>
  </si>
  <si>
    <t>L24220MH1945PLC004598</t>
  </si>
  <si>
    <t>Registered Office</t>
  </si>
  <si>
    <t>6A &amp; 6B, Shantinagar, Santacruz (East), Mumbai – 400 055</t>
  </si>
  <si>
    <t>ISIN</t>
  </si>
  <si>
    <t>INE021A01026</t>
  </si>
  <si>
    <t>BSE Scrip Code</t>
  </si>
  <si>
    <t>NSE Symbol</t>
  </si>
  <si>
    <t>ASIANPAINT</t>
  </si>
  <si>
    <t>Face Value (₹ per share)</t>
  </si>
  <si>
    <t>Total Equity Shares Outstanding</t>
  </si>
  <si>
    <t>Paid-up Equity Capital (₹ Cr)</t>
  </si>
  <si>
    <t>2. Credit Ratings (CRISIL) – Stable Across All 5 Years</t>
  </si>
  <si>
    <t>Short-term</t>
  </si>
  <si>
    <t>CRISIL A1+</t>
  </si>
  <si>
    <t>Long-term</t>
  </si>
  <si>
    <t>CRISIL AAA / Stable</t>
  </si>
  <si>
    <t>Outstanding GDR / ADR / Warrants / Convertible Instruments</t>
  </si>
  <si>
    <t>None</t>
  </si>
  <si>
    <t>3. Annual General Meeting Schedule</t>
  </si>
  <si>
    <t>Financial Year</t>
  </si>
  <si>
    <t>AGM Date</t>
  </si>
  <si>
    <t>AGM Number</t>
  </si>
  <si>
    <t>Mode</t>
  </si>
  <si>
    <t>FY 2020-21</t>
  </si>
  <si>
    <t>74th</t>
  </si>
  <si>
    <t>Video Conference / OAVM</t>
  </si>
  <si>
    <t>FY 2021-22</t>
  </si>
  <si>
    <t>75th</t>
  </si>
  <si>
    <t>FY 2022-23</t>
  </si>
  <si>
    <t>76th</t>
  </si>
  <si>
    <t>FY 2023-24</t>
  </si>
  <si>
    <t>77th</t>
  </si>
  <si>
    <t>FY 2024-25</t>
  </si>
  <si>
    <t>78th</t>
  </si>
  <si>
    <t>4. Registrar &amp; Share Transfer Agent (RTA)</t>
  </si>
  <si>
    <t>Period</t>
  </si>
  <si>
    <t>RTA</t>
  </si>
  <si>
    <t>Up to 12-Apr-2022</t>
  </si>
  <si>
    <t>TSR Darashaw Consultants Private Limited</t>
  </si>
  <si>
    <t>13-Apr-2022 onwards</t>
  </si>
  <si>
    <t>TSR Consultants Private Limited (renamed)</t>
  </si>
  <si>
    <t>Subsequently (from FY 2023-24)</t>
  </si>
  <si>
    <t>Link Intime India Private Limited</t>
  </si>
  <si>
    <t>31-Dec-2024 onwards</t>
  </si>
  <si>
    <t>MUFG Intime India Private Limited (rebranded)</t>
  </si>
  <si>
    <t>5. Key Metrics Snapshot (5-Year Comparison)</t>
  </si>
  <si>
    <t>Metric</t>
  </si>
  <si>
    <t>Units</t>
  </si>
  <si>
    <t>Total Equity Shares</t>
  </si>
  <si>
    <t>No.</t>
  </si>
  <si>
    <t>Total Shareholders</t>
  </si>
  <si>
    <t>Promoter Holding</t>
  </si>
  <si>
    <t>%</t>
  </si>
  <si>
    <t>Public Holding</t>
  </si>
  <si>
    <t>FII Holding</t>
  </si>
  <si>
    <t>Mutual Funds / UTI</t>
  </si>
  <si>
    <t>Insurance Companies</t>
  </si>
  <si>
    <t>Retail (Indv. up to ₹1 lakh)</t>
  </si>
  <si>
    <t>Demat Holding</t>
  </si>
  <si>
    <t>Total Dividend per Share</t>
  </si>
  <si>
    <t>₹</t>
  </si>
  <si>
    <t>Total Dividend Outflow</t>
  </si>
  <si>
    <t>₹ Cr</t>
  </si>
  <si>
    <t>6. Source &amp; Notes</t>
  </si>
  <si>
    <t>Source: Asian Paints Limited — General Shareholder Information section, Integrated Annual Reports FY 2020-21 to FY 2024-25.</t>
  </si>
  <si>
    <t>FY 2024-25 dividend includes interim of ₹4.25 (paid Nov 2024) and proposed final of ₹20.55 (subject to AGM approval).</t>
  </si>
  <si>
    <t>FY 2024-25 Annual Report did not publish monthly stock price (BSE/NSE) data; Stock Price tab covers FY 2020-21 through FY 2023-24.</t>
  </si>
  <si>
    <t>Total dividend paid over the last 10 years (per FY 2024-25 AR): ₹ 16,282.38 Cr.</t>
  </si>
  <si>
    <t>DIVIDEND HISTORY — LAST 10 YEARS</t>
  </si>
  <si>
    <t>Asian Paints Limited — from FY 2024-25 Integrated Annual Report (10-yr disclosure)</t>
  </si>
  <si>
    <t>1. Dividend per Share &amp; Total Outflow</t>
  </si>
  <si>
    <t>Interim DPS (₹)</t>
  </si>
  <si>
    <t>Final DPS (₹)</t>
  </si>
  <si>
    <t>Total DPS (₹)</t>
  </si>
  <si>
    <t>Total Dividend (₹ Cr)</t>
  </si>
  <si>
    <t>EPS (₹)</t>
  </si>
  <si>
    <t>Payout Ratio</t>
  </si>
  <si>
    <t>FY 2015-16</t>
  </si>
  <si>
    <t>FY 2016-17</t>
  </si>
  <si>
    <t>FY 2017-18</t>
  </si>
  <si>
    <t>FY 2018-19</t>
  </si>
  <si>
    <t>FY 2019-20</t>
  </si>
  <si>
    <t>10-Year Total</t>
  </si>
  <si>
    <t>2. FY 2024-25 Dividend Schedule</t>
  </si>
  <si>
    <t>Event</t>
  </si>
  <si>
    <t>Per Share (₹)</t>
  </si>
  <si>
    <t>Declared / Recommended</t>
  </si>
  <si>
    <t>Record Date</t>
  </si>
  <si>
    <t>Payment Date</t>
  </si>
  <si>
    <t>Interim Dividend FY 2024-25</t>
  </si>
  <si>
    <t>Final Dividend FY 2024-25</t>
  </si>
  <si>
    <t>On / after 30-Jun-2025</t>
  </si>
  <si>
    <t>3. Notes &amp; Definitions</t>
  </si>
  <si>
    <t>(i) FY 2016-17 total includes a one-time special dividend of ₹2.00/share on ₹1 face value.</t>
  </si>
  <si>
    <t>(ii) FY 2024-25 final dividend of ₹20.55 is recommended by the Board, subject to AGM approval (26-Jun-2025).</t>
  </si>
  <si>
    <t>(iii) Cumulative dividend paid in last 10 years (per AR FY 2024-25): ₹ 16,282.38 Cr.</t>
  </si>
  <si>
    <t>(iv) FY 2020-21 and FY 2021-22 ARs do not split interim/final separately for older years; values shown reflect amounts disclosed in FY 2024-25 AR's 10-year graph.</t>
  </si>
  <si>
    <t>(v) EPS and Payout Ratio columns are intentionally left blank — not disclosed in the General Shareholder Information section.</t>
  </si>
  <si>
    <t>MONTHLY STOCK PRICE — BSE &amp; NSE</t>
  </si>
  <si>
    <t>High / Low monthly prices (₹ per share). Source: BSE &amp; NSE websites, per Asian Paints Annual Reports.</t>
  </si>
  <si>
    <t>Month</t>
  </si>
  <si>
    <t>BSE High</t>
  </si>
  <si>
    <t>BSE Low</t>
  </si>
  <si>
    <t>NSE High</t>
  </si>
  <si>
    <t>NSE Low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</si>
  <si>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</si>
  <si>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</si>
  <si>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</si>
  <si>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</si>
  <si>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</si>
  <si>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</si>
  <si>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</si>
  <si>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</si>
  <si>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</si>
  <si>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</si>
  <si>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</si>
  <si>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</si>
  <si>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Year High</t>
  </si>
  <si>
    <t>Note: FY 2024-25 Annual Report did not publish monthly High/Low share prices. Asian Paints disclosed only summary metrics.</t>
  </si>
  <si>
    <t>SHAREHOLDING PATTERN — 5-YEAR COMPARISON</t>
  </si>
  <si>
    <t>Category-wise breakdown of equity shares as on 31st March of each year. Source: Asian Paints Integrated Annual Reports.</t>
  </si>
  <si>
    <t>Category of Shareholder</t>
  </si>
  <si>
    <t>Category</t>
  </si>
  <si>
    <t>No. of Shares</t>
  </si>
  <si>
    <t>% of Total</t>
  </si>
  <si>
    <t>(A) PROMOTER &amp; PROMOTER GROUP</t>
  </si>
  <si>
    <t>Individuals / HUF</t>
  </si>
  <si>
    <t>Bodies Corporate</t>
  </si>
  <si>
    <t>Trust</t>
  </si>
  <si>
    <t>Total Promoter Holding (A)</t>
  </si>
  <si>
    <t>(B) PUBLIC — INSTITUTIONS</t>
  </si>
  <si>
    <t>Financial Institutions / Banks</t>
  </si>
  <si>
    <t>Central Government / SWF</t>
  </si>
  <si>
    <t>Foreign Institutional Investors (FII)</t>
  </si>
  <si>
    <t>Sub-total Institutions (B1)</t>
  </si>
  <si>
    <t>(C) PUBLIC — NON-INSTITUTIONS</t>
  </si>
  <si>
    <t>Individuals — up to ₹1 lakh</t>
  </si>
  <si>
    <t>Individuals — above ₹1 lakh</t>
  </si>
  <si>
    <t>Non-Resident Individuals</t>
  </si>
  <si>
    <t>NBFCs (RBI registered)</t>
  </si>
  <si>
    <t>Trust(s)</t>
  </si>
  <si>
    <t>Sub-total Non-Institutions (B2)</t>
  </si>
  <si>
    <t>Total Public Holding (B = B1 + B2)</t>
  </si>
  <si>
    <t>Total (A + B)</t>
  </si>
  <si>
    <t>Pledge / Encumbrance of Promoter Holding (where disclosed)</t>
  </si>
  <si>
    <t>Date</t>
  </si>
  <si>
    <t>Pledged / Encumbered Shares</t>
  </si>
  <si>
    <t>% of Paid-up Capital</t>
  </si>
  <si>
    <t>Notes:</t>
  </si>
  <si>
    <t>(i) Public—Institutions percentages exclude Promoter category. Sub-totals computed dynamically from category rows.</t>
  </si>
  <si>
    <t>(ii) NBFCs holding shows 0.00% due to small base — actual values vary 3,670–8,995 shares across 5 years.</t>
  </si>
  <si>
    <t>(iii) Pledge/encumbrance disclosure ceased to appear in this section from FY 2022-23 AR onwards.</t>
  </si>
  <si>
    <t>DISTRIBUTION OF SHAREHOLDING</t>
  </si>
  <si>
    <t>Shareholders and shares grouped by holding-size buckets, as on 31st March of each year.</t>
  </si>
  <si>
    <t>No. of Equity Shares</t>
  </si>
  <si>
    <t>Bucket</t>
  </si>
  <si>
    <t>Shareholders</t>
  </si>
  <si>
    <t>Up to 50</t>
  </si>
  <si>
    <t>51 – 100</t>
  </si>
  <si>
    <t>101 – 200</t>
  </si>
  <si>
    <t>201 – 300</t>
  </si>
  <si>
    <t>301 – 400</t>
  </si>
  <si>
    <t>401 – 500</t>
  </si>
  <si>
    <t>501 – 1,000</t>
  </si>
  <si>
    <t>1,001 – 5,000</t>
  </si>
  <si>
    <t>5,001 – 10,000</t>
  </si>
  <si>
    <t>10,001 &amp; above</t>
  </si>
  <si>
    <t>Shares by Holding-Size Bucket</t>
  </si>
  <si>
    <t>Total Shares</t>
  </si>
  <si>
    <t>Concentration: Top bucket (10,001+) holds ≥ 90% of shares but is held by ≤ 0.6% of shareholders across all 5 years.</t>
  </si>
  <si>
    <t>TOP 10 SHAREHOLDERS</t>
  </si>
  <si>
    <t>As disclosed in the General Shareholder Information section of each Annual Report. Holdings consolidated by first-holder name + PAN.</t>
  </si>
  <si>
    <t>As on 31st March 2025</t>
  </si>
  <si>
    <t>#</t>
  </si>
  <si>
    <t>Name of Shareholder</t>
  </si>
  <si>
    <t>Sub-category</t>
  </si>
  <si>
    <t>% Held</t>
  </si>
  <si>
    <t>Life Insurance Corporation of India</t>
  </si>
  <si>
    <t>Public</t>
  </si>
  <si>
    <t>Siddhant Commercials Private Limited</t>
  </si>
  <si>
    <t>SBI Mutual Fund</t>
  </si>
  <si>
    <t>Mutual Funds</t>
  </si>
  <si>
    <t>ICICI Prudential Mutual Fund</t>
  </si>
  <si>
    <t>UTI Mutual Fund</t>
  </si>
  <si>
    <t>Nippon Life India Trustee Limited</t>
  </si>
  <si>
    <t>Vanguard Total International Stock Index Fund</t>
  </si>
  <si>
    <t>FII</t>
  </si>
  <si>
    <t>Vanguard Emerging Markets Stock Index Fund</t>
  </si>
  <si>
    <t>Government of Singapore</t>
  </si>
  <si>
    <t>Government Pension Fund Global</t>
  </si>
  <si>
    <t>Top 10 Total</t>
  </si>
  <si>
    <t>As on 31st March 2024</t>
  </si>
  <si>
    <t>Sattva Holding and Trading Private Limited</t>
  </si>
  <si>
    <t>Promoter Group</t>
  </si>
  <si>
    <t>Smiti Holding and Trading Company Private Limited</t>
  </si>
  <si>
    <t>Geetanjali Trading and Investments Private Limited</t>
  </si>
  <si>
    <t>Elcid Investments Limited</t>
  </si>
  <si>
    <t>Gujarat Organics Private Limited</t>
  </si>
  <si>
    <t>Sudhanva Investments and Trading Company Private Limited</t>
  </si>
  <si>
    <t>Rupen Investment and Industries Private Limited</t>
  </si>
  <si>
    <t>Satyadharma Investments and Trading Company Private Limited</t>
  </si>
  <si>
    <t>As on 31st March 2023</t>
  </si>
  <si>
    <t>Teesta Retail Private Limited</t>
  </si>
  <si>
    <t>(i) Holdings are consolidated on the basis of the name of the first holder and Permanent Account Number ("PAN").</t>
  </si>
  <si>
    <t>(ii) "Teesta Retail" (FY 2022-23) and "Siddhant Commercials" (FY 2023-24, 2024-25) refer to the same shareholder following corporate name change.</t>
  </si>
  <si>
    <t>(iii) Top 10 Total declined from ~36% (FY23) to ~20% (FY25) as Promoter Group entities consolidated/exited the Top 10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</si>
</sst>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##,##0"/>
    <numFmt numFmtId="165" formatCode="dd/mmm/yyyy"/>
    <numFmt numFmtId="166" formatCode="###,##0.00"/>
    <numFmt numFmtId="167" formatCode="0.0%"/>
  </numFmts>
  <fonts count="11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FFFFFF"/>
      <name val="Aptos"/>
      <family val="2"/>
    </font>
    <font>
      <b/>
      <sz val="16"/>
      <color rgb="FFFFFFFF"/>
      <name val="Aptos"/>
      <family val="2"/>
    </font>
    <font>
      <i/>
      <sz val="12"/>
      <color theme="1"/>
      <name val="Aptos"/>
      <family val="2"/>
    </font>
    <font>
      <i/>
      <sz val="11"/>
      <color rgb="FFFFFFFF"/>
      <name val="Aptos"/>
      <family val="2"/>
    </font>
    <font>
      <i/>
      <sz val="10"/>
      <color theme="1"/>
      <name val="Aptos"/>
      <family val="2"/>
    </font>
    <font>
      <b/>
      <sz val="14"/>
      <color rgb="FFFFFFFF"/>
      <name val="Aptos"/>
      <family val="2"/>
    </font>
    <font>
      <i/>
      <sz val="10"/>
      <color rgb="FFFFFFFF"/>
      <name val="Aptos"/>
      <family val="2"/>
    </font>
    <font>
      <b/>
      <i/>
      <sz val="12"/>
      <color theme="1"/>
      <name val="Aptos"/>
      <family val="2"/>
    </font>
    <font>
      <b/>
      <sz val="18"/>
      <color rgb="FFFFFFFF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3D5A3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hair">
        <color rgb="FFBFBFBF"/>
      </bottom>
      <diagonal/>
    </border>
    <border>
      <left/>
      <right/>
      <top style="thin">
        <color rgb="FF7F7F7F"/>
      </top>
      <bottom style="hair">
        <color rgb="FFBFBFBF"/>
      </bottom>
      <diagonal/>
    </border>
    <border>
      <left/>
      <right style="thin">
        <color rgb="FF7F7F7F"/>
      </right>
      <top style="thin">
        <color rgb="FF7F7F7F"/>
      </top>
      <bottom style="hair">
        <color rgb="FFBFBFBF"/>
      </bottom>
      <diagonal/>
    </border>
    <border>
      <left style="thin">
        <color rgb="FF7F7F7F"/>
      </left>
      <right/>
      <top style="hair">
        <color rgb="FFBFBFBF"/>
      </top>
      <bottom style="hair">
        <color rgb="FFBFBFBF"/>
      </bottom>
      <diagonal/>
    </border>
    <border>
      <left/>
      <right/>
      <top style="hair">
        <color rgb="FFBFBFBF"/>
      </top>
      <bottom style="hair">
        <color rgb="FFBFBFBF"/>
      </bottom>
      <diagonal/>
    </border>
    <border>
      <left/>
      <right style="thin">
        <color rgb="FF7F7F7F"/>
      </right>
      <top style="hair">
        <color rgb="FFBFBFBF"/>
      </top>
      <bottom style="hair">
        <color rgb="FFBFBFBF"/>
      </bottom>
      <diagonal/>
    </border>
    <border>
      <left style="thin">
        <color rgb="FF7F7F7F"/>
      </left>
      <right/>
      <top style="hair">
        <color rgb="FFBFBFBF"/>
      </top>
      <bottom style="thin">
        <color rgb="FF7F7F7F"/>
      </bottom>
      <diagonal/>
    </border>
    <border>
      <left/>
      <right/>
      <top style="hair">
        <color rgb="FFBFBFBF"/>
      </top>
      <bottom style="thin">
        <color rgb="FF7F7F7F"/>
      </bottom>
      <diagonal/>
    </border>
    <border>
      <left/>
      <right style="thin">
        <color rgb="FF7F7F7F"/>
      </right>
      <top style="hair">
        <color rgb="FFBFBFBF"/>
      </top>
      <bottom style="thin">
        <color rgb="FF7F7F7F"/>
      </bottom>
      <diagonal/>
    </border>
    <border>
      <left style="thin">
        <color rgb="FF7F7F7F"/>
      </left>
      <right/>
      <top/>
      <bottom style="hair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 style="thin">
        <color rgb="FF7F7F7F"/>
      </right>
      <top/>
      <bottom style="hair">
        <color rgb="FFBFBFB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3" borderId="0" xfId="0" applyFont="1" applyFill="1" applyAlignment="1">
      <alignment horizontal="center"/>
    </xf>
    <xf numFmtId="0" fontId="6" fillId="0" borderId="0" xfId="0" applyFont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164" fontId="0" fillId="0" borderId="0" xfId="0" applyNumberFormat="1" applyBorder="1" applyAlignment="1">
      <alignment horizontal="right"/>
    </xf>
    <xf numFmtId="10" fontId="0" fillId="0" borderId="0" xfId="0" applyNumberFormat="1" applyBorder="1" applyAlignment="1">
      <alignment horizontal="right"/>
    </xf>
    <xf numFmtId="10" fontId="0" fillId="0" borderId="9" xfId="0" applyNumberFormat="1" applyBorder="1" applyAlignment="1">
      <alignment horizontal="right"/>
    </xf>
    <xf numFmtId="0" fontId="1" fillId="3" borderId="1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0" fillId="0" borderId="15" xfId="0" applyNumberFormat="1" applyBorder="1" applyAlignment="1">
      <alignment horizontal="right"/>
    </xf>
    <xf numFmtId="10" fontId="0" fillId="0" borderId="15" xfId="0" applyNumberFormat="1" applyBorder="1" applyAlignment="1">
      <alignment horizontal="right"/>
    </xf>
    <xf numFmtId="0" fontId="4" fillId="0" borderId="18" xfId="0" applyFont="1" applyBorder="1" applyAlignment="1">
      <alignment horizontal="center"/>
    </xf>
    <xf numFmtId="4" fontId="0" fillId="0" borderId="18" xfId="0" applyNumberFormat="1" applyBorder="1" applyAlignment="1">
      <alignment horizontal="right"/>
    </xf>
    <xf numFmtId="0" fontId="1" fillId="0" borderId="20" xfId="0" applyFont="1" applyBorder="1"/>
    <xf numFmtId="0" fontId="4" fillId="0" borderId="21" xfId="0" applyFont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/>
    </xf>
    <xf numFmtId="15" fontId="1" fillId="3" borderId="18" xfId="0" applyNumberFormat="1" applyFont="1" applyFill="1" applyBorder="1" applyAlignment="1">
      <alignment horizontal="center"/>
    </xf>
    <xf numFmtId="15" fontId="1" fillId="3" borderId="19" xfId="0" applyNumberFormat="1" applyFont="1" applyFill="1" applyBorder="1" applyAlignment="1">
      <alignment horizontal="center"/>
    </xf>
    <xf numFmtId="0" fontId="6" fillId="0" borderId="0" xfId="0" applyFont="1" applyBorder="1"/>
    <xf numFmtId="0" fontId="6" fillId="0" borderId="3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0" fontId="8" fillId="2" borderId="0" xfId="0" applyFont="1" applyFill="1" applyAlignment="1">
      <alignment horizontal="left"/>
    </xf>
    <xf numFmtId="4" fontId="1" fillId="3" borderId="0" xfId="0" applyNumberFormat="1" applyFont="1" applyFill="1" applyAlignment="1">
      <alignment horizontal="righ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3" borderId="16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4" fontId="0" fillId="0" borderId="15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4" fontId="1" fillId="3" borderId="18" xfId="0" applyNumberFormat="1" applyFont="1" applyFill="1" applyBorder="1" applyAlignment="1">
      <alignment horizontal="right"/>
    </xf>
    <xf numFmtId="166" fontId="1" fillId="3" borderId="18" xfId="0" applyNumberFormat="1" applyFont="1" applyFill="1" applyBorder="1" applyAlignment="1">
      <alignment horizontal="right"/>
    </xf>
    <xf numFmtId="167" fontId="1" fillId="3" borderId="19" xfId="0" applyNumberFormat="1" applyFont="1" applyFill="1" applyBorder="1" applyAlignment="1">
      <alignment horizontal="right"/>
    </xf>
    <xf numFmtId="0" fontId="0" fillId="0" borderId="20" xfId="0" applyBorder="1" applyAlignment="1">
      <alignment horizontal="left"/>
    </xf>
    <xf numFmtId="4" fontId="0" fillId="0" borderId="21" xfId="0" applyNumberFormat="1" applyBorder="1" applyAlignment="1">
      <alignment horizontal="right"/>
    </xf>
    <xf numFmtId="166" fontId="0" fillId="0" borderId="21" xfId="0" applyNumberFormat="1" applyBorder="1" applyAlignment="1">
      <alignment horizontal="right"/>
    </xf>
    <xf numFmtId="167" fontId="0" fillId="0" borderId="22" xfId="0" applyNumberFormat="1" applyBorder="1" applyAlignment="1">
      <alignment horizontal="right"/>
    </xf>
    <xf numFmtId="0" fontId="1" fillId="3" borderId="19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165" fontId="0" fillId="0" borderId="18" xfId="0" applyNumberFormat="1" applyBorder="1" applyAlignment="1">
      <alignment horizontal="right"/>
    </xf>
    <xf numFmtId="0" fontId="0" fillId="0" borderId="18" xfId="0" applyBorder="1" applyAlignment="1">
      <alignment horizontal="right"/>
    </xf>
    <xf numFmtId="165" fontId="0" fillId="0" borderId="21" xfId="0" applyNumberFormat="1" applyBorder="1" applyAlignment="1">
      <alignment horizontal="right"/>
    </xf>
    <xf numFmtId="15" fontId="0" fillId="0" borderId="21" xfId="0" applyNumberFormat="1" applyBorder="1" applyAlignment="1">
      <alignment horizontal="right"/>
    </xf>
    <xf numFmtId="4" fontId="1" fillId="3" borderId="19" xfId="0" applyNumberFormat="1" applyFont="1" applyFill="1" applyBorder="1" applyAlignment="1">
      <alignment horizontal="right"/>
    </xf>
    <xf numFmtId="4" fontId="1" fillId="3" borderId="17" xfId="0" applyNumberFormat="1" applyFont="1" applyFill="1" applyBorder="1" applyAlignment="1">
      <alignment horizontal="right"/>
    </xf>
    <xf numFmtId="0" fontId="1" fillId="3" borderId="17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0" fontId="9" fillId="3" borderId="0" xfId="0" applyFont="1" applyFill="1" applyBorder="1"/>
    <xf numFmtId="164" fontId="9" fillId="3" borderId="0" xfId="0" applyNumberFormat="1" applyFont="1" applyFill="1" applyBorder="1" applyAlignment="1">
      <alignment horizontal="right"/>
    </xf>
    <xf numFmtId="10" fontId="9" fillId="3" borderId="0" xfId="0" applyNumberFormat="1" applyFont="1" applyFill="1" applyBorder="1" applyAlignment="1">
      <alignment horizontal="right"/>
    </xf>
    <xf numFmtId="0" fontId="9" fillId="3" borderId="6" xfId="0" applyFont="1" applyFill="1" applyBorder="1"/>
    <xf numFmtId="0" fontId="1" fillId="3" borderId="5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9" xfId="0" applyFont="1" applyFill="1" applyBorder="1"/>
    <xf numFmtId="10" fontId="1" fillId="3" borderId="8" xfId="0" applyNumberFormat="1" applyFont="1" applyFill="1" applyBorder="1" applyAlignment="1">
      <alignment horizontal="right"/>
    </xf>
    <xf numFmtId="10" fontId="9" fillId="3" borderId="9" xfId="0" applyNumberFormat="1" applyFont="1" applyFill="1" applyBorder="1" applyAlignment="1">
      <alignment horizontal="right"/>
    </xf>
    <xf numFmtId="0" fontId="1" fillId="3" borderId="7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5" fontId="0" fillId="0" borderId="14" xfId="0" applyNumberFormat="1" applyBorder="1"/>
    <xf numFmtId="15" fontId="0" fillId="0" borderId="17" xfId="0" applyNumberFormat="1" applyBorder="1"/>
    <xf numFmtId="164" fontId="0" fillId="0" borderId="18" xfId="0" applyNumberFormat="1" applyBorder="1" applyAlignment="1">
      <alignment horizontal="right"/>
    </xf>
    <xf numFmtId="10" fontId="0" fillId="0" borderId="18" xfId="0" applyNumberFormat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right"/>
    </xf>
    <xf numFmtId="10" fontId="1" fillId="3" borderId="2" xfId="0" applyNumberFormat="1" applyFont="1" applyFill="1" applyBorder="1" applyAlignment="1">
      <alignment horizontal="right"/>
    </xf>
    <xf numFmtId="0" fontId="1" fillId="3" borderId="4" xfId="0" applyFont="1" applyFill="1" applyBorder="1" applyAlignment="1">
      <alignment horizontal="left"/>
    </xf>
    <xf numFmtId="10" fontId="1" fillId="3" borderId="23" xfId="0" applyNumberFormat="1" applyFont="1" applyFill="1" applyBorder="1" applyAlignment="1">
      <alignment horizontal="right"/>
    </xf>
    <xf numFmtId="1" fontId="0" fillId="0" borderId="6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0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0" fontId="0" fillId="0" borderId="0" xfId="0" applyFont="1"/>
    <xf numFmtId="0" fontId="0" fillId="0" borderId="15" xfId="0" applyFont="1" applyBorder="1"/>
    <xf numFmtId="0" fontId="0" fillId="0" borderId="16" xfId="0" applyFont="1" applyBorder="1"/>
    <xf numFmtId="1" fontId="0" fillId="0" borderId="15" xfId="0" applyNumberFormat="1" applyFont="1" applyBorder="1"/>
    <xf numFmtId="164" fontId="0" fillId="0" borderId="15" xfId="0" applyNumberFormat="1" applyFont="1" applyBorder="1"/>
    <xf numFmtId="4" fontId="0" fillId="0" borderId="18" xfId="0" applyNumberFormat="1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165" fontId="0" fillId="0" borderId="21" xfId="0" applyNumberFormat="1" applyFont="1" applyBorder="1"/>
    <xf numFmtId="0" fontId="0" fillId="0" borderId="21" xfId="0" applyFont="1" applyBorder="1"/>
    <xf numFmtId="0" fontId="0" fillId="0" borderId="14" xfId="0" applyFont="1" applyBorder="1"/>
    <xf numFmtId="165" fontId="0" fillId="0" borderId="15" xfId="0" applyNumberFormat="1" applyFont="1" applyBorder="1"/>
    <xf numFmtId="0" fontId="0" fillId="0" borderId="17" xfId="0" applyFont="1" applyBorder="1"/>
    <xf numFmtId="165" fontId="0" fillId="0" borderId="18" xfId="0" applyNumberFormat="1" applyFont="1" applyBorder="1"/>
    <xf numFmtId="164" fontId="0" fillId="0" borderId="21" xfId="0" applyNumberFormat="1" applyFont="1" applyBorder="1" applyAlignment="1">
      <alignment horizontal="right"/>
    </xf>
    <xf numFmtId="164" fontId="0" fillId="0" borderId="22" xfId="0" applyNumberFormat="1" applyFont="1" applyBorder="1" applyAlignment="1">
      <alignment horizontal="right"/>
    </xf>
    <xf numFmtId="164" fontId="0" fillId="0" borderId="15" xfId="0" applyNumberFormat="1" applyFont="1" applyBorder="1" applyAlignment="1">
      <alignment horizontal="right"/>
    </xf>
    <xf numFmtId="164" fontId="0" fillId="0" borderId="16" xfId="0" applyNumberFormat="1" applyFont="1" applyBorder="1" applyAlignment="1">
      <alignment horizontal="right"/>
    </xf>
    <xf numFmtId="10" fontId="0" fillId="0" borderId="15" xfId="0" applyNumberFormat="1" applyFont="1" applyBorder="1" applyAlignment="1">
      <alignment horizontal="right"/>
    </xf>
    <xf numFmtId="10" fontId="0" fillId="0" borderId="16" xfId="0" applyNumberFormat="1" applyFont="1" applyBorder="1" applyAlignment="1">
      <alignment horizontal="right"/>
    </xf>
    <xf numFmtId="2" fontId="0" fillId="0" borderId="15" xfId="0" applyNumberFormat="1" applyFont="1" applyBorder="1" applyAlignment="1">
      <alignment horizontal="right"/>
    </xf>
    <xf numFmtId="2" fontId="0" fillId="0" borderId="16" xfId="0" applyNumberFormat="1" applyFont="1" applyBorder="1" applyAlignment="1">
      <alignment horizontal="right"/>
    </xf>
    <xf numFmtId="4" fontId="0" fillId="0" borderId="18" xfId="0" applyNumberFormat="1" applyFont="1" applyBorder="1" applyAlignment="1">
      <alignment horizontal="right"/>
    </xf>
    <xf numFmtId="4" fontId="0" fillId="0" borderId="19" xfId="0" applyNumberFormat="1" applyFont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4" fontId="0" fillId="0" borderId="21" xfId="0" applyNumberFormat="1" applyFont="1" applyBorder="1" applyAlignment="1">
      <alignment horizontal="right"/>
    </xf>
    <xf numFmtId="4" fontId="0" fillId="0" borderId="22" xfId="0" applyNumberFormat="1" applyFont="1" applyBorder="1" applyAlignment="1">
      <alignment horizontal="right"/>
    </xf>
    <xf numFmtId="4" fontId="0" fillId="0" borderId="0" xfId="0" applyNumberFormat="1" applyFont="1" applyAlignment="1">
      <alignment horizontal="right"/>
    </xf>
    <xf numFmtId="4" fontId="0" fillId="0" borderId="20" xfId="0" applyNumberFormat="1" applyFont="1" applyBorder="1" applyAlignment="1">
      <alignment horizontal="right"/>
    </xf>
    <xf numFmtId="4" fontId="0" fillId="0" borderId="15" xfId="0" applyNumberFormat="1" applyFont="1" applyBorder="1" applyAlignment="1">
      <alignment horizontal="right"/>
    </xf>
    <xf numFmtId="4" fontId="0" fillId="0" borderId="16" xfId="0" applyNumberFormat="1" applyFont="1" applyBorder="1" applyAlignment="1">
      <alignment horizontal="right"/>
    </xf>
    <xf numFmtId="4" fontId="0" fillId="0" borderId="14" xfId="0" applyNumberFormat="1" applyFont="1" applyBorder="1" applyAlignment="1">
      <alignment horizontal="right"/>
    </xf>
    <xf numFmtId="0" fontId="3" fillId="4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5" fontId="2" fillId="5" borderId="1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4" xfId="0" applyFont="1" applyFill="1" applyBorder="1" applyAlignment="1">
      <alignment horizontal="left"/>
    </xf>
    <xf numFmtId="164" fontId="2" fillId="5" borderId="2" xfId="0" applyNumberFormat="1" applyFont="1" applyFill="1" applyBorder="1" applyAlignment="1">
      <alignment horizontal="right"/>
    </xf>
    <xf numFmtId="10" fontId="2" fillId="5" borderId="2" xfId="0" applyNumberFormat="1" applyFont="1" applyFill="1" applyBorder="1" applyAlignment="1">
      <alignment horizontal="right"/>
    </xf>
    <xf numFmtId="10" fontId="2" fillId="5" borderId="23" xfId="0" applyNumberFormat="1" applyFont="1" applyFill="1" applyBorder="1" applyAlignment="1">
      <alignment horizontal="right"/>
    </xf>
    <xf numFmtId="0" fontId="8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10" fontId="4" fillId="6" borderId="0" xfId="0" applyNumberFormat="1" applyFont="1" applyFill="1" applyBorder="1" applyAlignment="1">
      <alignment horizontal="right"/>
    </xf>
    <xf numFmtId="10" fontId="4" fillId="6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C78752-A3CA-42E4-AF07-03CA24269F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8DF29D-8904-43B4-822E-0FF84F40456C}">
  <we:reference id="wa200008399" version="1.0.0.4" store="en-US" storeType="OMEX"/>
  <we:alternateReferences>
    <we:reference id="wa200008399" version="1.0.0.4" store="wa200008399" storeType="OMEX"/>
  </we:alternateReferences>
  <we:properties>
    <we:property name="ProjectMetadata" value="&quot;{\&quot;projectId\&quot;:\&quot;f6a5cdb2-c861-457a-95b7-846a9047a04f\&quot;}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DA45-EBC1-4CA9-A6FC-12C1A03136E8}">
  <sheetPr>
    <tabColor rgb="FFFF0000"/>
  </sheetPr>
  <dimension ref="B2:H53"/>
  <sheetViews>
    <sheetView showGridLines="0" zoomScale="86" workbookViewId="0">
      <pane xSplit="1" ySplit="4" topLeftCell="B37" activePane="bottomRight" state="frozen"/>
      <selection pane="topRight" activeCell="B1" sqref="B1"/>
      <selection pane="bottomLeft" activeCell="A5" sqref="A5"/>
      <selection pane="bottomRight" activeCell="B2" sqref="B2:H2"/>
    </sheetView>
  </sheetViews>
  <sheetFormatPr defaultRowHeight="15.75" customHeight="1" x14ac:dyDescent="0.25"/>
  <cols>
    <col min="1" max="1" width="2.6640625" style="101" customWidth="1"/>
    <col min="2" max="3" width="36.88671875" style="101" customWidth="1"/>
    <col min="4" max="8" width="21.6640625" style="101" customWidth="1"/>
    <col min="9" max="16384" width="8.88671875" style="101"/>
  </cols>
  <sheetData>
    <row r="2" spans="2:8" ht="36.75" customHeight="1" x14ac:dyDescent="0.25">
      <c r="B2" s="87" t="s">
        <v>0</v>
      </c>
      <c r="C2" s="87"/>
      <c r="D2" s="87"/>
      <c r="E2" s="87"/>
      <c r="F2" s="87"/>
      <c r="G2" s="87"/>
      <c r="H2" s="87"/>
    </row>
    <row r="3" spans="2:8" ht="15.75" customHeight="1" x14ac:dyDescent="0.25">
      <c r="B3" s="88" t="s">
        <v>1</v>
      </c>
      <c r="C3" s="88"/>
      <c r="D3" s="88"/>
      <c r="E3" s="88"/>
      <c r="F3" s="88"/>
      <c r="G3" s="88"/>
      <c r="H3" s="88"/>
    </row>
    <row r="5" spans="2:8" ht="18.75" x14ac:dyDescent="0.3">
      <c r="B5" s="95" t="s">
        <v>2</v>
      </c>
      <c r="C5" s="90"/>
      <c r="D5" s="90"/>
      <c r="E5" s="90"/>
      <c r="F5" s="90"/>
      <c r="G5" s="90"/>
      <c r="H5" s="91"/>
    </row>
    <row r="6" spans="2:8" ht="15.75" customHeight="1" x14ac:dyDescent="0.25">
      <c r="B6" s="3" t="s">
        <v>3</v>
      </c>
      <c r="C6" s="102" t="s">
        <v>4</v>
      </c>
      <c r="D6" s="102"/>
      <c r="E6" s="102"/>
      <c r="F6" s="102"/>
      <c r="G6" s="102"/>
      <c r="H6" s="103"/>
    </row>
    <row r="7" spans="2:8" ht="15.75" customHeight="1" x14ac:dyDescent="0.25">
      <c r="B7" s="3" t="s">
        <v>5</v>
      </c>
      <c r="C7" s="102" t="s">
        <v>6</v>
      </c>
      <c r="D7" s="102"/>
      <c r="E7" s="102"/>
      <c r="F7" s="102"/>
      <c r="G7" s="102"/>
      <c r="H7" s="103"/>
    </row>
    <row r="8" spans="2:8" ht="15.75" customHeight="1" x14ac:dyDescent="0.25">
      <c r="B8" s="3" t="s">
        <v>7</v>
      </c>
      <c r="C8" s="102" t="s">
        <v>8</v>
      </c>
      <c r="D8" s="102"/>
      <c r="E8" s="102"/>
      <c r="F8" s="102"/>
      <c r="G8" s="102"/>
      <c r="H8" s="103"/>
    </row>
    <row r="9" spans="2:8" ht="15.75" customHeight="1" x14ac:dyDescent="0.25">
      <c r="B9" s="3" t="s">
        <v>9</v>
      </c>
      <c r="C9" s="104">
        <v>500820</v>
      </c>
      <c r="D9" s="102"/>
      <c r="E9" s="102"/>
      <c r="F9" s="102"/>
      <c r="G9" s="102"/>
      <c r="H9" s="103"/>
    </row>
    <row r="10" spans="2:8" ht="15.75" customHeight="1" x14ac:dyDescent="0.25">
      <c r="B10" s="3" t="s">
        <v>10</v>
      </c>
      <c r="C10" s="102" t="s">
        <v>11</v>
      </c>
      <c r="D10" s="102"/>
      <c r="E10" s="102"/>
      <c r="F10" s="102"/>
      <c r="G10" s="102"/>
      <c r="H10" s="103"/>
    </row>
    <row r="11" spans="2:8" ht="15.75" customHeight="1" x14ac:dyDescent="0.25">
      <c r="B11" s="3" t="s">
        <v>12</v>
      </c>
      <c r="C11" s="104">
        <v>1</v>
      </c>
      <c r="D11" s="102"/>
      <c r="E11" s="102"/>
      <c r="F11" s="102"/>
      <c r="G11" s="102"/>
      <c r="H11" s="103"/>
    </row>
    <row r="12" spans="2:8" ht="15.75" customHeight="1" x14ac:dyDescent="0.25">
      <c r="B12" s="3" t="s">
        <v>13</v>
      </c>
      <c r="C12" s="105">
        <v>959197790</v>
      </c>
      <c r="D12" s="102"/>
      <c r="E12" s="102"/>
      <c r="F12" s="102"/>
      <c r="G12" s="102"/>
      <c r="H12" s="103"/>
    </row>
    <row r="13" spans="2:8" ht="15.75" customHeight="1" x14ac:dyDescent="0.25">
      <c r="B13" s="6" t="s">
        <v>14</v>
      </c>
      <c r="C13" s="106">
        <f>C12*C11/10000000</f>
        <v>95.919779000000005</v>
      </c>
      <c r="D13" s="107"/>
      <c r="E13" s="107"/>
      <c r="F13" s="107"/>
      <c r="G13" s="107"/>
      <c r="H13" s="108"/>
    </row>
    <row r="15" spans="2:8" ht="18.75" x14ac:dyDescent="0.3">
      <c r="B15" s="95" t="s">
        <v>15</v>
      </c>
      <c r="C15" s="96"/>
      <c r="D15" s="96"/>
      <c r="E15" s="96"/>
      <c r="F15" s="96"/>
      <c r="G15" s="96"/>
      <c r="H15" s="97"/>
    </row>
    <row r="16" spans="2:8" ht="15.75" customHeight="1" x14ac:dyDescent="0.25">
      <c r="B16" s="3" t="s">
        <v>16</v>
      </c>
      <c r="C16" s="102" t="s">
        <v>17</v>
      </c>
      <c r="D16" s="102"/>
      <c r="E16" s="102"/>
      <c r="F16" s="102"/>
      <c r="G16" s="102"/>
      <c r="H16" s="103"/>
    </row>
    <row r="17" spans="2:8" ht="15.75" customHeight="1" x14ac:dyDescent="0.25">
      <c r="B17" s="3" t="s">
        <v>18</v>
      </c>
      <c r="C17" s="102" t="s">
        <v>19</v>
      </c>
      <c r="D17" s="102"/>
      <c r="E17" s="102"/>
      <c r="F17" s="102"/>
      <c r="G17" s="102"/>
      <c r="H17" s="103"/>
    </row>
    <row r="18" spans="2:8" ht="15.75" customHeight="1" x14ac:dyDescent="0.25">
      <c r="B18" s="6" t="s">
        <v>20</v>
      </c>
      <c r="C18" s="107" t="s">
        <v>21</v>
      </c>
      <c r="D18" s="107"/>
      <c r="E18" s="107"/>
      <c r="F18" s="107"/>
      <c r="G18" s="107"/>
      <c r="H18" s="108"/>
    </row>
    <row r="20" spans="2:8" ht="18.75" x14ac:dyDescent="0.3">
      <c r="B20" s="98" t="s">
        <v>22</v>
      </c>
      <c r="C20" s="99"/>
      <c r="D20" s="99"/>
      <c r="E20" s="99"/>
      <c r="F20" s="96"/>
      <c r="G20" s="96"/>
      <c r="H20" s="97"/>
    </row>
    <row r="21" spans="2:8" ht="15.75" customHeight="1" x14ac:dyDescent="0.25">
      <c r="B21" s="11" t="s">
        <v>23</v>
      </c>
      <c r="C21" s="12" t="s">
        <v>24</v>
      </c>
      <c r="D21" s="12" t="s">
        <v>25</v>
      </c>
      <c r="E21" s="12" t="s">
        <v>26</v>
      </c>
      <c r="F21" s="9"/>
      <c r="G21" s="9"/>
      <c r="H21" s="10"/>
    </row>
    <row r="22" spans="2:8" ht="15.75" customHeight="1" x14ac:dyDescent="0.25">
      <c r="B22" s="109" t="s">
        <v>27</v>
      </c>
      <c r="C22" s="110">
        <v>44376</v>
      </c>
      <c r="D22" s="111" t="s">
        <v>28</v>
      </c>
      <c r="E22" s="111" t="s">
        <v>29</v>
      </c>
      <c r="F22" s="102"/>
      <c r="G22" s="102"/>
      <c r="H22" s="103"/>
    </row>
    <row r="23" spans="2:8" ht="15.75" customHeight="1" x14ac:dyDescent="0.25">
      <c r="B23" s="112" t="s">
        <v>30</v>
      </c>
      <c r="C23" s="113">
        <v>44741</v>
      </c>
      <c r="D23" s="102" t="s">
        <v>31</v>
      </c>
      <c r="E23" s="102" t="s">
        <v>29</v>
      </c>
      <c r="F23" s="102"/>
      <c r="G23" s="102"/>
      <c r="H23" s="103"/>
    </row>
    <row r="24" spans="2:8" ht="15.75" customHeight="1" x14ac:dyDescent="0.25">
      <c r="B24" s="112" t="s">
        <v>32</v>
      </c>
      <c r="C24" s="113">
        <v>45104</v>
      </c>
      <c r="D24" s="102" t="s">
        <v>33</v>
      </c>
      <c r="E24" s="102" t="s">
        <v>29</v>
      </c>
      <c r="F24" s="102"/>
      <c r="G24" s="102"/>
      <c r="H24" s="103"/>
    </row>
    <row r="25" spans="2:8" ht="15.75" customHeight="1" x14ac:dyDescent="0.25">
      <c r="B25" s="112" t="s">
        <v>34</v>
      </c>
      <c r="C25" s="113">
        <v>45468</v>
      </c>
      <c r="D25" s="102" t="s">
        <v>35</v>
      </c>
      <c r="E25" s="102" t="s">
        <v>29</v>
      </c>
      <c r="F25" s="102"/>
      <c r="G25" s="102"/>
      <c r="H25" s="103"/>
    </row>
    <row r="26" spans="2:8" ht="15.75" customHeight="1" x14ac:dyDescent="0.25">
      <c r="B26" s="114" t="s">
        <v>36</v>
      </c>
      <c r="C26" s="115">
        <v>45834</v>
      </c>
      <c r="D26" s="107" t="s">
        <v>37</v>
      </c>
      <c r="E26" s="107" t="s">
        <v>29</v>
      </c>
      <c r="F26" s="107"/>
      <c r="G26" s="107"/>
      <c r="H26" s="108"/>
    </row>
    <row r="28" spans="2:8" ht="18.75" x14ac:dyDescent="0.3">
      <c r="B28" s="98" t="s">
        <v>38</v>
      </c>
      <c r="C28" s="99"/>
      <c r="D28" s="96"/>
      <c r="E28" s="96"/>
      <c r="F28" s="96"/>
      <c r="G28" s="96"/>
      <c r="H28" s="97"/>
    </row>
    <row r="29" spans="2:8" ht="15.75" customHeight="1" x14ac:dyDescent="0.25">
      <c r="B29" s="11" t="s">
        <v>39</v>
      </c>
      <c r="C29" s="12" t="s">
        <v>40</v>
      </c>
      <c r="D29" s="9"/>
      <c r="E29" s="9"/>
      <c r="F29" s="9"/>
      <c r="G29" s="9"/>
      <c r="H29" s="10"/>
    </row>
    <row r="30" spans="2:8" ht="15.75" customHeight="1" x14ac:dyDescent="0.25">
      <c r="B30" s="109" t="s">
        <v>41</v>
      </c>
      <c r="C30" s="111" t="s">
        <v>42</v>
      </c>
      <c r="D30" s="102"/>
      <c r="E30" s="102"/>
      <c r="F30" s="102"/>
      <c r="G30" s="102"/>
      <c r="H30" s="103"/>
    </row>
    <row r="31" spans="2:8" ht="15.75" customHeight="1" x14ac:dyDescent="0.25">
      <c r="B31" s="112" t="s">
        <v>43</v>
      </c>
      <c r="C31" s="102" t="s">
        <v>44</v>
      </c>
      <c r="D31" s="102"/>
      <c r="E31" s="102"/>
      <c r="F31" s="102"/>
      <c r="G31" s="102"/>
      <c r="H31" s="103"/>
    </row>
    <row r="32" spans="2:8" ht="15.75" customHeight="1" x14ac:dyDescent="0.25">
      <c r="B32" s="112" t="s">
        <v>45</v>
      </c>
      <c r="C32" s="102" t="s">
        <v>46</v>
      </c>
      <c r="D32" s="102"/>
      <c r="E32" s="102"/>
      <c r="F32" s="102"/>
      <c r="G32" s="102"/>
      <c r="H32" s="103"/>
    </row>
    <row r="33" spans="2:8" ht="15.75" customHeight="1" x14ac:dyDescent="0.25">
      <c r="B33" s="114" t="s">
        <v>47</v>
      </c>
      <c r="C33" s="107" t="s">
        <v>48</v>
      </c>
      <c r="D33" s="107"/>
      <c r="E33" s="107"/>
      <c r="F33" s="107"/>
      <c r="G33" s="107"/>
      <c r="H33" s="108"/>
    </row>
    <row r="35" spans="2:8" ht="18.75" x14ac:dyDescent="0.3">
      <c r="B35" s="98" t="s">
        <v>49</v>
      </c>
      <c r="C35" s="99"/>
      <c r="D35" s="99"/>
      <c r="E35" s="99"/>
      <c r="F35" s="99"/>
      <c r="G35" s="99"/>
      <c r="H35" s="100"/>
    </row>
    <row r="36" spans="2:8" ht="15.75" customHeight="1" x14ac:dyDescent="0.25">
      <c r="B36" s="25" t="s">
        <v>50</v>
      </c>
      <c r="C36" s="26" t="s">
        <v>51</v>
      </c>
      <c r="D36" s="27">
        <v>44286</v>
      </c>
      <c r="E36" s="27">
        <v>44651</v>
      </c>
      <c r="F36" s="27">
        <v>45016</v>
      </c>
      <c r="G36" s="27">
        <v>45382</v>
      </c>
      <c r="H36" s="28">
        <v>45747</v>
      </c>
    </row>
    <row r="37" spans="2:8" ht="15.75" customHeight="1" x14ac:dyDescent="0.25">
      <c r="B37" s="23" t="s">
        <v>52</v>
      </c>
      <c r="C37" s="24" t="s">
        <v>53</v>
      </c>
      <c r="D37" s="116">
        <v>959197790</v>
      </c>
      <c r="E37" s="116">
        <v>959197790</v>
      </c>
      <c r="F37" s="116">
        <v>959197790</v>
      </c>
      <c r="G37" s="116">
        <v>959197790</v>
      </c>
      <c r="H37" s="117">
        <v>959197790</v>
      </c>
    </row>
    <row r="38" spans="2:8" ht="15.75" customHeight="1" x14ac:dyDescent="0.25">
      <c r="B38" s="3" t="s">
        <v>54</v>
      </c>
      <c r="C38" s="18" t="s">
        <v>53</v>
      </c>
      <c r="D38" s="118">
        <v>522165</v>
      </c>
      <c r="E38" s="118">
        <v>987176</v>
      </c>
      <c r="F38" s="118">
        <v>1129040</v>
      </c>
      <c r="G38" s="118">
        <v>1148193</v>
      </c>
      <c r="H38" s="119">
        <v>1254977</v>
      </c>
    </row>
    <row r="39" spans="2:8" ht="15.75" customHeight="1" x14ac:dyDescent="0.25">
      <c r="B39" s="3" t="s">
        <v>55</v>
      </c>
      <c r="C39" s="18" t="s">
        <v>56</v>
      </c>
      <c r="D39" s="120">
        <v>0.52790000000000004</v>
      </c>
      <c r="E39" s="120">
        <v>0.52629999999999999</v>
      </c>
      <c r="F39" s="120">
        <v>0.52629999999999999</v>
      </c>
      <c r="G39" s="120">
        <v>0.52629999999999999</v>
      </c>
      <c r="H39" s="121">
        <v>0.52629999999999999</v>
      </c>
    </row>
    <row r="40" spans="2:8" ht="15.75" customHeight="1" x14ac:dyDescent="0.25">
      <c r="B40" s="3" t="s">
        <v>57</v>
      </c>
      <c r="C40" s="18" t="s">
        <v>56</v>
      </c>
      <c r="D40" s="120">
        <f t="shared" ref="D40:H40" si="0">1-D39</f>
        <v>0.47209999999999996</v>
      </c>
      <c r="E40" s="120">
        <f t="shared" si="0"/>
        <v>0.47370000000000001</v>
      </c>
      <c r="F40" s="120">
        <f t="shared" si="0"/>
        <v>0.47370000000000001</v>
      </c>
      <c r="G40" s="120">
        <f t="shared" si="0"/>
        <v>0.47370000000000001</v>
      </c>
      <c r="H40" s="121">
        <f t="shared" si="0"/>
        <v>0.47370000000000001</v>
      </c>
    </row>
    <row r="41" spans="2:8" ht="15.75" customHeight="1" x14ac:dyDescent="0.25">
      <c r="B41" s="3" t="s">
        <v>58</v>
      </c>
      <c r="C41" s="18" t="s">
        <v>56</v>
      </c>
      <c r="D41" s="120">
        <v>0.20380000000000001</v>
      </c>
      <c r="E41" s="120">
        <v>0.19450000000000001</v>
      </c>
      <c r="F41" s="120">
        <v>0.1701</v>
      </c>
      <c r="G41" s="120">
        <v>0.15890000000000001</v>
      </c>
      <c r="H41" s="121">
        <v>0.1222</v>
      </c>
    </row>
    <row r="42" spans="2:8" ht="15.75" customHeight="1" x14ac:dyDescent="0.25">
      <c r="B42" s="3" t="s">
        <v>59</v>
      </c>
      <c r="C42" s="18" t="s">
        <v>56</v>
      </c>
      <c r="D42" s="120">
        <v>2.9499999999999998E-2</v>
      </c>
      <c r="E42" s="120">
        <v>3.1800000000000002E-2</v>
      </c>
      <c r="F42" s="120">
        <v>3.6999999999999998E-2</v>
      </c>
      <c r="G42" s="120">
        <v>3.7400000000000003E-2</v>
      </c>
      <c r="H42" s="121">
        <v>5.67E-2</v>
      </c>
    </row>
    <row r="43" spans="2:8" ht="15.75" customHeight="1" x14ac:dyDescent="0.25">
      <c r="B43" s="3" t="s">
        <v>60</v>
      </c>
      <c r="C43" s="18" t="s">
        <v>56</v>
      </c>
      <c r="D43" s="120">
        <v>3.39E-2</v>
      </c>
      <c r="E43" s="120">
        <v>3.3700000000000001E-2</v>
      </c>
      <c r="F43" s="120">
        <v>5.3100000000000001E-2</v>
      </c>
      <c r="G43" s="120">
        <v>7.0999999999999994E-2</v>
      </c>
      <c r="H43" s="121">
        <v>9.5000000000000001E-2</v>
      </c>
    </row>
    <row r="44" spans="2:8" ht="15.75" customHeight="1" x14ac:dyDescent="0.25">
      <c r="B44" s="3" t="s">
        <v>61</v>
      </c>
      <c r="C44" s="18" t="s">
        <v>56</v>
      </c>
      <c r="D44" s="120">
        <v>0.115</v>
      </c>
      <c r="E44" s="120">
        <v>0.1226</v>
      </c>
      <c r="F44" s="120">
        <v>0.1244</v>
      </c>
      <c r="G44" s="120">
        <v>0.1198</v>
      </c>
      <c r="H44" s="121">
        <v>0.1182</v>
      </c>
    </row>
    <row r="45" spans="2:8" ht="15.75" customHeight="1" x14ac:dyDescent="0.25">
      <c r="B45" s="3" t="s">
        <v>62</v>
      </c>
      <c r="C45" s="18" t="s">
        <v>56</v>
      </c>
      <c r="D45" s="120">
        <v>0.99260000000000004</v>
      </c>
      <c r="E45" s="120">
        <v>0.99339999999999995</v>
      </c>
      <c r="F45" s="120">
        <v>0.99460000000000004</v>
      </c>
      <c r="G45" s="120">
        <v>0.996</v>
      </c>
      <c r="H45" s="121">
        <v>0.99680000000000002</v>
      </c>
    </row>
    <row r="46" spans="2:8" ht="15.75" customHeight="1" x14ac:dyDescent="0.25">
      <c r="B46" s="3" t="s">
        <v>63</v>
      </c>
      <c r="C46" s="18" t="s">
        <v>64</v>
      </c>
      <c r="D46" s="122">
        <v>17.850000000000001</v>
      </c>
      <c r="E46" s="122">
        <v>19.149999999999999</v>
      </c>
      <c r="F46" s="122">
        <v>25.65</v>
      </c>
      <c r="G46" s="122">
        <v>33.299999999999997</v>
      </c>
      <c r="H46" s="123">
        <v>24.8</v>
      </c>
    </row>
    <row r="47" spans="2:8" ht="15.75" customHeight="1" x14ac:dyDescent="0.25">
      <c r="B47" s="6" t="s">
        <v>65</v>
      </c>
      <c r="C47" s="21" t="s">
        <v>66</v>
      </c>
      <c r="D47" s="124">
        <v>1712.17</v>
      </c>
      <c r="E47" s="124">
        <v>1836.86</v>
      </c>
      <c r="F47" s="124">
        <v>2460.34</v>
      </c>
      <c r="G47" s="124">
        <v>3194.13</v>
      </c>
      <c r="H47" s="125">
        <f>D37*H46/10000000</f>
        <v>2378.8105191999998</v>
      </c>
    </row>
    <row r="49" spans="2:8" ht="18.75" x14ac:dyDescent="0.3">
      <c r="B49" s="98" t="s">
        <v>67</v>
      </c>
      <c r="C49" s="99"/>
      <c r="D49" s="99"/>
      <c r="E49" s="99"/>
      <c r="F49" s="99"/>
      <c r="G49" s="99"/>
      <c r="H49" s="100"/>
    </row>
    <row r="50" spans="2:8" ht="15.75" customHeight="1" x14ac:dyDescent="0.25">
      <c r="B50" s="31" t="s">
        <v>68</v>
      </c>
      <c r="C50" s="29"/>
      <c r="D50" s="29"/>
      <c r="E50" s="29"/>
      <c r="F50" s="29"/>
      <c r="G50" s="29"/>
      <c r="H50" s="33"/>
    </row>
    <row r="51" spans="2:8" ht="15.75" customHeight="1" x14ac:dyDescent="0.25">
      <c r="B51" s="31" t="s">
        <v>69</v>
      </c>
      <c r="C51" s="29"/>
      <c r="D51" s="29"/>
      <c r="E51" s="29"/>
      <c r="F51" s="29"/>
      <c r="G51" s="29"/>
      <c r="H51" s="33"/>
    </row>
    <row r="52" spans="2:8" ht="15.75" customHeight="1" x14ac:dyDescent="0.25">
      <c r="B52" s="31" t="s">
        <v>70</v>
      </c>
      <c r="C52" s="29"/>
      <c r="D52" s="29"/>
      <c r="E52" s="29"/>
      <c r="F52" s="29"/>
      <c r="G52" s="29"/>
      <c r="H52" s="33"/>
    </row>
    <row r="53" spans="2:8" ht="15.75" customHeight="1" x14ac:dyDescent="0.25">
      <c r="B53" s="32" t="s">
        <v>71</v>
      </c>
      <c r="C53" s="30"/>
      <c r="D53" s="30"/>
      <c r="E53" s="30"/>
      <c r="F53" s="30"/>
      <c r="G53" s="30"/>
      <c r="H53" s="34"/>
    </row>
  </sheetData>
  <mergeCells count="2">
    <mergeCell ref="B2:H2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31CF-D0EE-4677-9B82-E738AFA11AE6}">
  <sheetPr>
    <tabColor rgb="FF00B050"/>
  </sheetPr>
  <dimension ref="A2:H31"/>
  <sheetViews>
    <sheetView showGridLines="0" zoomScale="102"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C37" sqref="C37"/>
    </sheetView>
  </sheetViews>
  <sheetFormatPr defaultRowHeight="15.75" customHeight="1" x14ac:dyDescent="0.25"/>
  <cols>
    <col min="1" max="1" width="2.33203125" customWidth="1"/>
    <col min="2" max="2" width="30.5546875" customWidth="1"/>
    <col min="3" max="3" width="13.21875" bestFit="1" customWidth="1"/>
    <col min="4" max="4" width="22.33203125" bestFit="1" customWidth="1"/>
    <col min="5" max="5" width="17.21875" customWidth="1"/>
    <col min="6" max="6" width="19.44140625" customWidth="1"/>
    <col min="7" max="7" width="15.5546875" customWidth="1"/>
    <col min="8" max="8" width="19" customWidth="1"/>
  </cols>
  <sheetData>
    <row r="2" spans="2:8" ht="26.1" customHeight="1" x14ac:dyDescent="0.25">
      <c r="B2" s="126" t="s">
        <v>72</v>
      </c>
      <c r="C2" s="126"/>
      <c r="D2" s="126"/>
      <c r="E2" s="126"/>
      <c r="F2" s="126"/>
      <c r="G2" s="126"/>
      <c r="H2" s="126"/>
    </row>
    <row r="3" spans="2:8" ht="15.75" customHeight="1" x14ac:dyDescent="0.25">
      <c r="B3" s="35" t="s">
        <v>73</v>
      </c>
      <c r="C3" s="35"/>
      <c r="D3" s="35"/>
      <c r="E3" s="35"/>
      <c r="F3" s="35"/>
      <c r="G3" s="35"/>
      <c r="H3" s="35"/>
    </row>
    <row r="5" spans="2:8" ht="18.75" x14ac:dyDescent="0.3">
      <c r="B5" s="98" t="s">
        <v>74</v>
      </c>
      <c r="C5" s="99"/>
      <c r="D5" s="99"/>
      <c r="E5" s="99"/>
      <c r="F5" s="99"/>
      <c r="G5" s="99"/>
      <c r="H5" s="100"/>
    </row>
    <row r="6" spans="2:8" ht="15.75" customHeight="1" x14ac:dyDescent="0.25">
      <c r="B6" s="25" t="s">
        <v>23</v>
      </c>
      <c r="C6" s="26" t="s">
        <v>75</v>
      </c>
      <c r="D6" s="26" t="s">
        <v>76</v>
      </c>
      <c r="E6" s="26" t="s">
        <v>77</v>
      </c>
      <c r="F6" s="26" t="s">
        <v>78</v>
      </c>
      <c r="G6" s="26" t="s">
        <v>79</v>
      </c>
      <c r="H6" s="51" t="s">
        <v>80</v>
      </c>
    </row>
    <row r="7" spans="2:8" ht="15.75" customHeight="1" x14ac:dyDescent="0.25">
      <c r="B7" s="47" t="s">
        <v>81</v>
      </c>
      <c r="C7" s="48"/>
      <c r="D7" s="48"/>
      <c r="E7" s="48">
        <v>7.5</v>
      </c>
      <c r="F7" s="49"/>
      <c r="G7" s="48"/>
      <c r="H7" s="50"/>
    </row>
    <row r="8" spans="2:8" ht="15.75" customHeight="1" x14ac:dyDescent="0.25">
      <c r="B8" s="40" t="s">
        <v>82</v>
      </c>
      <c r="C8" s="41"/>
      <c r="D8" s="41"/>
      <c r="E8" s="41">
        <v>10.3</v>
      </c>
      <c r="F8" s="42"/>
      <c r="G8" s="41"/>
      <c r="H8" s="43"/>
    </row>
    <row r="9" spans="2:8" ht="15.75" customHeight="1" x14ac:dyDescent="0.25">
      <c r="B9" s="40" t="s">
        <v>83</v>
      </c>
      <c r="C9" s="41"/>
      <c r="D9" s="41"/>
      <c r="E9" s="41">
        <v>8.6999999999999993</v>
      </c>
      <c r="F9" s="42">
        <v>834.5</v>
      </c>
      <c r="G9" s="41"/>
      <c r="H9" s="43"/>
    </row>
    <row r="10" spans="2:8" ht="15.75" customHeight="1" x14ac:dyDescent="0.25">
      <c r="B10" s="40" t="s">
        <v>84</v>
      </c>
      <c r="C10" s="41"/>
      <c r="D10" s="41"/>
      <c r="E10" s="41">
        <v>10.5</v>
      </c>
      <c r="F10" s="42">
        <v>1007.16</v>
      </c>
      <c r="G10" s="41"/>
      <c r="H10" s="43"/>
    </row>
    <row r="11" spans="2:8" ht="15.75" customHeight="1" x14ac:dyDescent="0.25">
      <c r="B11" s="40" t="s">
        <v>85</v>
      </c>
      <c r="C11" s="41"/>
      <c r="D11" s="41"/>
      <c r="E11" s="41">
        <v>12</v>
      </c>
      <c r="F11" s="42">
        <v>1151.04</v>
      </c>
      <c r="G11" s="41"/>
      <c r="H11" s="43"/>
    </row>
    <row r="12" spans="2:8" ht="15.75" customHeight="1" x14ac:dyDescent="0.25">
      <c r="B12" s="40" t="s">
        <v>27</v>
      </c>
      <c r="C12" s="41">
        <v>3.35</v>
      </c>
      <c r="D12" s="41">
        <v>14.5</v>
      </c>
      <c r="E12" s="41">
        <f t="shared" ref="E12:E16" si="0">C12+D12</f>
        <v>17.850000000000001</v>
      </c>
      <c r="F12" s="42">
        <v>1712.17</v>
      </c>
      <c r="G12" s="41"/>
      <c r="H12" s="43"/>
    </row>
    <row r="13" spans="2:8" ht="15.75" customHeight="1" x14ac:dyDescent="0.25">
      <c r="B13" s="40" t="s">
        <v>30</v>
      </c>
      <c r="C13" s="41">
        <v>3.65</v>
      </c>
      <c r="D13" s="41">
        <v>15.5</v>
      </c>
      <c r="E13" s="41">
        <f t="shared" si="0"/>
        <v>19.149999999999999</v>
      </c>
      <c r="F13" s="42">
        <v>1836.86</v>
      </c>
      <c r="G13" s="41"/>
      <c r="H13" s="43"/>
    </row>
    <row r="14" spans="2:8" ht="15.75" customHeight="1" x14ac:dyDescent="0.25">
      <c r="B14" s="40" t="s">
        <v>32</v>
      </c>
      <c r="C14" s="41">
        <v>4.4000000000000004</v>
      </c>
      <c r="D14" s="41">
        <v>21.25</v>
      </c>
      <c r="E14" s="41">
        <f t="shared" si="0"/>
        <v>25.65</v>
      </c>
      <c r="F14" s="42">
        <v>2460.34</v>
      </c>
      <c r="G14" s="41"/>
      <c r="H14" s="43"/>
    </row>
    <row r="15" spans="2:8" ht="15.75" customHeight="1" x14ac:dyDescent="0.25">
      <c r="B15" s="40" t="s">
        <v>34</v>
      </c>
      <c r="C15" s="41">
        <v>5.15</v>
      </c>
      <c r="D15" s="41">
        <v>28.15</v>
      </c>
      <c r="E15" s="41">
        <f t="shared" si="0"/>
        <v>33.299999999999997</v>
      </c>
      <c r="F15" s="42">
        <v>3194.13</v>
      </c>
      <c r="G15" s="41"/>
      <c r="H15" s="43"/>
    </row>
    <row r="16" spans="2:8" ht="15.75" customHeight="1" x14ac:dyDescent="0.25">
      <c r="B16" s="40" t="s">
        <v>36</v>
      </c>
      <c r="C16" s="41">
        <v>4.25</v>
      </c>
      <c r="D16" s="41">
        <v>20.55</v>
      </c>
      <c r="E16" s="41">
        <f t="shared" si="0"/>
        <v>24.8</v>
      </c>
      <c r="F16" s="42">
        <f>'Cover Page'!H47</f>
        <v>2378.8105191999998</v>
      </c>
      <c r="G16" s="41"/>
      <c r="H16" s="43"/>
    </row>
    <row r="17" spans="1:8" ht="15.75" customHeight="1" x14ac:dyDescent="0.25">
      <c r="B17" s="11" t="s">
        <v>86</v>
      </c>
      <c r="C17" s="44"/>
      <c r="D17" s="44"/>
      <c r="E17" s="44">
        <f t="shared" ref="E17:F17" si="1">SUM(E7:E16)</f>
        <v>169.75</v>
      </c>
      <c r="F17" s="45">
        <f t="shared" si="1"/>
        <v>14575.010519200001</v>
      </c>
      <c r="G17" s="44"/>
      <c r="H17" s="46"/>
    </row>
    <row r="19" spans="1:8" ht="18.75" x14ac:dyDescent="0.3">
      <c r="B19" s="98" t="s">
        <v>87</v>
      </c>
      <c r="C19" s="99"/>
      <c r="D19" s="99"/>
      <c r="E19" s="99"/>
      <c r="F19" s="99"/>
      <c r="G19" s="96"/>
      <c r="H19" s="97"/>
    </row>
    <row r="20" spans="1:8" ht="15.75" customHeight="1" x14ac:dyDescent="0.25">
      <c r="B20" s="25" t="s">
        <v>88</v>
      </c>
      <c r="C20" s="26" t="s">
        <v>89</v>
      </c>
      <c r="D20" s="26" t="s">
        <v>90</v>
      </c>
      <c r="E20" s="26" t="s">
        <v>91</v>
      </c>
      <c r="F20" s="26" t="s">
        <v>92</v>
      </c>
      <c r="G20" s="17"/>
      <c r="H20" s="39"/>
    </row>
    <row r="21" spans="1:8" ht="15.75" customHeight="1" x14ac:dyDescent="0.25">
      <c r="B21" s="47" t="s">
        <v>93</v>
      </c>
      <c r="C21" s="48">
        <v>4.25</v>
      </c>
      <c r="D21" s="55">
        <v>45605</v>
      </c>
      <c r="E21" s="55">
        <v>45615</v>
      </c>
      <c r="F21" s="56">
        <v>45624</v>
      </c>
      <c r="G21" s="4"/>
      <c r="H21" s="5"/>
    </row>
    <row r="22" spans="1:8" ht="15.75" customHeight="1" x14ac:dyDescent="0.25">
      <c r="B22" s="52" t="s">
        <v>94</v>
      </c>
      <c r="C22" s="22">
        <v>20.55</v>
      </c>
      <c r="D22" s="53">
        <v>45785</v>
      </c>
      <c r="E22" s="53">
        <v>45818</v>
      </c>
      <c r="F22" s="54" t="s">
        <v>95</v>
      </c>
      <c r="G22" s="7"/>
      <c r="H22" s="8"/>
    </row>
    <row r="24" spans="1:8" ht="18.75" x14ac:dyDescent="0.3">
      <c r="B24" s="127" t="s">
        <v>96</v>
      </c>
      <c r="C24" s="127"/>
      <c r="D24" s="127"/>
      <c r="E24" s="127"/>
      <c r="F24" s="127"/>
      <c r="G24" s="127"/>
      <c r="H24" s="127"/>
    </row>
    <row r="25" spans="1:8" ht="15.75" customHeight="1" x14ac:dyDescent="0.25">
      <c r="A25" s="128"/>
      <c r="B25" s="171" t="s">
        <v>97</v>
      </c>
      <c r="C25" s="172"/>
      <c r="D25" s="172"/>
      <c r="E25" s="172"/>
      <c r="F25" s="173"/>
      <c r="G25" s="162"/>
      <c r="H25" s="2"/>
    </row>
    <row r="26" spans="1:8" ht="15.75" customHeight="1" x14ac:dyDescent="0.25">
      <c r="A26" s="128"/>
      <c r="B26" s="174" t="s">
        <v>98</v>
      </c>
      <c r="C26" s="175"/>
      <c r="D26" s="175"/>
      <c r="E26" s="175"/>
      <c r="F26" s="176"/>
      <c r="G26" s="164"/>
      <c r="H26" s="2"/>
    </row>
    <row r="27" spans="1:8" ht="15.75" customHeight="1" x14ac:dyDescent="0.25">
      <c r="B27" s="177" t="s">
        <v>99</v>
      </c>
      <c r="C27" s="176"/>
      <c r="D27" s="176"/>
      <c r="E27" s="176"/>
      <c r="F27" s="176"/>
      <c r="G27" s="164"/>
      <c r="H27" s="2"/>
    </row>
    <row r="28" spans="1:8" ht="15.75" customHeight="1" x14ac:dyDescent="0.25">
      <c r="B28" s="177" t="s">
        <v>100</v>
      </c>
      <c r="C28" s="176"/>
      <c r="D28" s="176"/>
      <c r="E28" s="176"/>
      <c r="F28" s="178"/>
      <c r="G28" s="179"/>
      <c r="H28" s="2"/>
    </row>
    <row r="29" spans="1:8" ht="15.75" customHeight="1" x14ac:dyDescent="0.25">
      <c r="A29" s="128"/>
      <c r="B29" s="180" t="s">
        <v>101</v>
      </c>
      <c r="C29" s="181"/>
      <c r="D29" s="181"/>
      <c r="E29" s="181"/>
      <c r="F29" s="182"/>
      <c r="G29" s="167"/>
      <c r="H29" s="2"/>
    </row>
    <row r="30" spans="1:8" ht="15.75" customHeight="1" x14ac:dyDescent="0.25">
      <c r="A30" s="128"/>
      <c r="B30" s="128"/>
      <c r="C30" s="128"/>
      <c r="D30" s="128"/>
      <c r="E30" s="128"/>
      <c r="F30" s="128"/>
    </row>
    <row r="31" spans="1:8" ht="15.75" customHeight="1" x14ac:dyDescent="0.25">
      <c r="A31" s="128"/>
      <c r="B31" s="128"/>
      <c r="C31" s="128"/>
      <c r="D31" s="128"/>
      <c r="E31" s="128"/>
      <c r="F31" s="128"/>
    </row>
  </sheetData>
  <mergeCells count="4">
    <mergeCell ref="B29:E29"/>
    <mergeCell ref="B2:H2"/>
    <mergeCell ref="B25:E25"/>
    <mergeCell ref="B26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DC3E-3F71-4EB3-B128-C2469A16B44D}">
  <sheetPr>
    <tabColor rgb="FFFFFF00"/>
  </sheetPr>
  <dimension ref="B2:K38"/>
  <sheetViews>
    <sheetView showGridLines="0" zoomScale="92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B38" sqref="B38:H38"/>
    </sheetView>
  </sheetViews>
  <sheetFormatPr defaultRowHeight="15.75" customHeight="1" x14ac:dyDescent="0.25"/>
  <cols>
    <col min="1" max="1" width="2.6640625" style="101" customWidth="1"/>
    <col min="2" max="2" width="14.109375" style="101" customWidth="1"/>
    <col min="3" max="11" width="13" style="101" customWidth="1"/>
    <col min="12" max="16384" width="8.88671875" style="101"/>
  </cols>
  <sheetData>
    <row r="2" spans="2:11" ht="32.25" customHeight="1" x14ac:dyDescent="0.25">
      <c r="B2" s="136" t="s">
        <v>102</v>
      </c>
      <c r="C2" s="136"/>
      <c r="D2" s="136"/>
      <c r="E2" s="136"/>
      <c r="F2" s="136"/>
      <c r="G2" s="136"/>
      <c r="H2" s="136"/>
      <c r="I2" s="136"/>
      <c r="J2" s="136"/>
      <c r="K2" s="136"/>
    </row>
    <row r="3" spans="2:11" ht="15.75" customHeight="1" x14ac:dyDescent="0.25">
      <c r="B3" s="35" t="s">
        <v>103</v>
      </c>
      <c r="C3" s="35"/>
      <c r="D3" s="35"/>
      <c r="E3" s="35"/>
      <c r="F3" s="35"/>
      <c r="G3" s="35"/>
      <c r="H3" s="35"/>
      <c r="I3" s="35"/>
      <c r="J3" s="35"/>
      <c r="K3" s="35"/>
    </row>
    <row r="5" spans="2:11" ht="18.75" x14ac:dyDescent="0.3">
      <c r="B5" s="139" t="s">
        <v>27</v>
      </c>
      <c r="C5" s="140"/>
      <c r="D5" s="140"/>
      <c r="E5" s="140"/>
      <c r="F5" s="141"/>
      <c r="H5" s="139" t="s">
        <v>30</v>
      </c>
      <c r="I5" s="140"/>
      <c r="J5" s="140"/>
      <c r="K5" s="141"/>
    </row>
    <row r="6" spans="2:11" ht="15.75" customHeight="1" x14ac:dyDescent="0.25">
      <c r="B6" s="25" t="s">
        <v>104</v>
      </c>
      <c r="C6" s="26" t="s">
        <v>105</v>
      </c>
      <c r="D6" s="26" t="s">
        <v>106</v>
      </c>
      <c r="E6" s="26" t="s">
        <v>107</v>
      </c>
      <c r="F6" s="51" t="s">
        <v>108</v>
      </c>
      <c r="G6" s="1"/>
      <c r="H6" s="59" t="s">
        <v>105</v>
      </c>
      <c r="I6" s="26" t="s">
        <v>106</v>
      </c>
      <c r="J6" s="26" t="s">
        <v>107</v>
      </c>
      <c r="K6" s="51" t="s">
        <v>108</v>
      </c>
    </row>
    <row r="7" spans="2:11" ht="15.75" customHeight="1" x14ac:dyDescent="0.25">
      <c r="B7" s="109" t="s">
        <v>109</v>
      </c>
      <c r="C7" s="129">
        <v>1862.5</v>
      </c>
      <c r="D7" s="129">
        <v>1517.45</v>
      </c>
      <c r="E7" s="129">
        <v>1864</v>
      </c>
      <c r="F7" s="130">
        <v>1517.25</v>
      </c>
      <c r="G7" s="131"/>
      <c r="H7" s="132">
        <v>2692.4</v>
      </c>
      <c r="I7" s="129">
        <v>2484.0500000000002</v>
      </c>
      <c r="J7" s="129">
        <v>2693.5</v>
      </c>
      <c r="K7" s="130">
        <v>2484.5</v>
      </c>
    </row>
    <row r="8" spans="2:11" ht="15.75" customHeight="1" x14ac:dyDescent="0.25">
      <c r="B8" s="112" t="s">
        <v>110</v>
      </c>
      <c r="C8" s="133">
        <v>1751</v>
      </c>
      <c r="D8" s="133">
        <v>1482.85</v>
      </c>
      <c r="E8" s="133">
        <v>1751</v>
      </c>
      <c r="F8" s="134">
        <v>1482.95</v>
      </c>
      <c r="G8" s="131"/>
      <c r="H8" s="135">
        <v>2995</v>
      </c>
      <c r="I8" s="133">
        <v>2506.35</v>
      </c>
      <c r="J8" s="133">
        <v>2989.95</v>
      </c>
      <c r="K8" s="134">
        <v>2505.6</v>
      </c>
    </row>
    <row r="9" spans="2:11" ht="15.75" customHeight="1" x14ac:dyDescent="0.25">
      <c r="B9" s="112" t="s">
        <v>111</v>
      </c>
      <c r="C9" s="133">
        <v>1813.1</v>
      </c>
      <c r="D9" s="133">
        <v>1575</v>
      </c>
      <c r="E9" s="133">
        <v>1813.75</v>
      </c>
      <c r="F9" s="134">
        <v>1577.5</v>
      </c>
      <c r="G9" s="131"/>
      <c r="H9" s="135">
        <v>3091</v>
      </c>
      <c r="I9" s="133">
        <v>2877.4</v>
      </c>
      <c r="J9" s="133">
        <v>3092.85</v>
      </c>
      <c r="K9" s="134">
        <v>2877.15</v>
      </c>
    </row>
    <row r="10" spans="2:11" ht="15.75" customHeight="1" x14ac:dyDescent="0.25">
      <c r="B10" s="112" t="s">
        <v>112</v>
      </c>
      <c r="C10" s="133">
        <v>1792.2</v>
      </c>
      <c r="D10" s="133">
        <v>1645.9</v>
      </c>
      <c r="E10" s="133">
        <v>1792.65</v>
      </c>
      <c r="F10" s="134">
        <v>1645.1</v>
      </c>
      <c r="G10" s="131"/>
      <c r="H10" s="135">
        <v>3180</v>
      </c>
      <c r="I10" s="133">
        <v>2952</v>
      </c>
      <c r="J10" s="133">
        <v>3179.5</v>
      </c>
      <c r="K10" s="134">
        <v>2951.9</v>
      </c>
    </row>
    <row r="11" spans="2:11" ht="15.75" customHeight="1" x14ac:dyDescent="0.25">
      <c r="B11" s="112" t="s">
        <v>113</v>
      </c>
      <c r="C11" s="133">
        <v>2015.95</v>
      </c>
      <c r="D11" s="133">
        <v>1697.5</v>
      </c>
      <c r="E11" s="133">
        <v>2016.85</v>
      </c>
      <c r="F11" s="134">
        <v>1697.5</v>
      </c>
      <c r="G11" s="131"/>
      <c r="H11" s="135">
        <v>3210</v>
      </c>
      <c r="I11" s="133">
        <v>2954.5</v>
      </c>
      <c r="J11" s="133">
        <v>3210</v>
      </c>
      <c r="K11" s="134">
        <v>2952.55</v>
      </c>
    </row>
    <row r="12" spans="2:11" ht="15.75" customHeight="1" x14ac:dyDescent="0.25">
      <c r="B12" s="112" t="s">
        <v>114</v>
      </c>
      <c r="C12" s="133">
        <v>2087.75</v>
      </c>
      <c r="D12" s="133">
        <v>1908.3</v>
      </c>
      <c r="E12" s="133">
        <v>2069.9499999999998</v>
      </c>
      <c r="F12" s="134">
        <v>1907.75</v>
      </c>
      <c r="G12" s="131"/>
      <c r="H12" s="135">
        <v>3504.05</v>
      </c>
      <c r="I12" s="133">
        <v>3218.15</v>
      </c>
      <c r="J12" s="133">
        <v>3505</v>
      </c>
      <c r="K12" s="134">
        <v>3215</v>
      </c>
    </row>
    <row r="13" spans="2:11" ht="15.75" customHeight="1" x14ac:dyDescent="0.25">
      <c r="B13" s="112" t="s">
        <v>115</v>
      </c>
      <c r="C13" s="133">
        <v>2242.3000000000002</v>
      </c>
      <c r="D13" s="133">
        <v>1992.6</v>
      </c>
      <c r="E13" s="133">
        <v>2242.85</v>
      </c>
      <c r="F13" s="134">
        <v>1992.05</v>
      </c>
      <c r="G13" s="131"/>
      <c r="H13" s="135">
        <v>3357.05</v>
      </c>
      <c r="I13" s="133">
        <v>2855.6</v>
      </c>
      <c r="J13" s="133">
        <v>3358.9</v>
      </c>
      <c r="K13" s="134">
        <v>2857.25</v>
      </c>
    </row>
    <row r="14" spans="2:11" ht="15.75" customHeight="1" x14ac:dyDescent="0.25">
      <c r="B14" s="112" t="s">
        <v>116</v>
      </c>
      <c r="C14" s="133">
        <v>2249.6</v>
      </c>
      <c r="D14" s="133">
        <v>2116.6</v>
      </c>
      <c r="E14" s="133">
        <v>2249</v>
      </c>
      <c r="F14" s="134">
        <v>2117.15</v>
      </c>
      <c r="G14" s="131"/>
      <c r="H14" s="135">
        <v>3306.95</v>
      </c>
      <c r="I14" s="133">
        <v>3020</v>
      </c>
      <c r="J14" s="133">
        <v>3308.35</v>
      </c>
      <c r="K14" s="134">
        <v>3052</v>
      </c>
    </row>
    <row r="15" spans="2:11" ht="15.75" customHeight="1" x14ac:dyDescent="0.25">
      <c r="B15" s="112" t="s">
        <v>117</v>
      </c>
      <c r="C15" s="133">
        <v>2771.5</v>
      </c>
      <c r="D15" s="133">
        <v>2206.85</v>
      </c>
      <c r="E15" s="133">
        <v>2772</v>
      </c>
      <c r="F15" s="134">
        <v>2206.1999999999998</v>
      </c>
      <c r="G15" s="131"/>
      <c r="H15" s="135">
        <v>3403.55</v>
      </c>
      <c r="I15" s="133">
        <v>3017.65</v>
      </c>
      <c r="J15" s="133">
        <v>3405</v>
      </c>
      <c r="K15" s="134">
        <v>3016.45</v>
      </c>
    </row>
    <row r="16" spans="2:11" ht="15.75" customHeight="1" x14ac:dyDescent="0.25">
      <c r="B16" s="112" t="s">
        <v>118</v>
      </c>
      <c r="C16" s="133">
        <v>2871.4</v>
      </c>
      <c r="D16" s="133">
        <v>2400</v>
      </c>
      <c r="E16" s="133">
        <v>2873.45</v>
      </c>
      <c r="F16" s="134">
        <v>2400</v>
      </c>
      <c r="G16" s="131"/>
      <c r="H16" s="135">
        <v>3588.05</v>
      </c>
      <c r="I16" s="133">
        <v>3010.7</v>
      </c>
      <c r="J16" s="133">
        <v>3590</v>
      </c>
      <c r="K16" s="134">
        <v>3010.75</v>
      </c>
    </row>
    <row r="17" spans="2:11" ht="15.75" customHeight="1" x14ac:dyDescent="0.25">
      <c r="B17" s="112" t="s">
        <v>119</v>
      </c>
      <c r="C17" s="133">
        <v>2555</v>
      </c>
      <c r="D17" s="133">
        <v>2261.4499999999998</v>
      </c>
      <c r="E17" s="133">
        <v>2555</v>
      </c>
      <c r="F17" s="134">
        <v>2260</v>
      </c>
      <c r="G17" s="131"/>
      <c r="H17" s="135">
        <v>3296.05</v>
      </c>
      <c r="I17" s="133">
        <v>3015</v>
      </c>
      <c r="J17" s="133">
        <v>3296.9</v>
      </c>
      <c r="K17" s="134">
        <v>3015</v>
      </c>
    </row>
    <row r="18" spans="2:11" ht="15.75" customHeight="1" x14ac:dyDescent="0.25">
      <c r="B18" s="112" t="s">
        <v>120</v>
      </c>
      <c r="C18" s="133">
        <v>2583</v>
      </c>
      <c r="D18" s="133">
        <v>2300</v>
      </c>
      <c r="E18" s="133">
        <v>2583.4499999999998</v>
      </c>
      <c r="F18" s="134">
        <v>2300</v>
      </c>
      <c r="G18" s="131"/>
      <c r="H18" s="135">
        <v>3162.7</v>
      </c>
      <c r="I18" s="133">
        <v>2601</v>
      </c>
      <c r="J18" s="133">
        <v>3163.3</v>
      </c>
      <c r="K18" s="134">
        <v>2599.35</v>
      </c>
    </row>
    <row r="19" spans="2:11" ht="15.75" customHeight="1" x14ac:dyDescent="0.25">
      <c r="B19" s="11" t="s">
        <v>121</v>
      </c>
      <c r="C19" s="44">
        <f>MAX(C7:C18)</f>
        <v>2871.4</v>
      </c>
      <c r="D19" s="44">
        <f>MIN(D7:D18)</f>
        <v>1482.85</v>
      </c>
      <c r="E19" s="44">
        <f>MAX(E7:E18)</f>
        <v>2873.45</v>
      </c>
      <c r="F19" s="57">
        <f>MIN(F7:F18)</f>
        <v>1482.95</v>
      </c>
      <c r="G19" s="36"/>
      <c r="H19" s="58">
        <f>MAX(H7:H18)</f>
        <v>3588.05</v>
      </c>
      <c r="I19" s="44">
        <f>MIN(I7:I18)</f>
        <v>2484.0500000000002</v>
      </c>
      <c r="J19" s="44">
        <f>MAX(J7:J18)</f>
        <v>3590</v>
      </c>
      <c r="K19" s="57">
        <f>MIN(K7:K18)</f>
        <v>2484.5</v>
      </c>
    </row>
    <row r="22" spans="2:11" ht="18.75" x14ac:dyDescent="0.3">
      <c r="B22" s="139" t="s">
        <v>32</v>
      </c>
      <c r="C22" s="140"/>
      <c r="D22" s="140"/>
      <c r="E22" s="140"/>
      <c r="F22" s="141"/>
      <c r="H22" s="139" t="s">
        <v>34</v>
      </c>
      <c r="I22" s="140"/>
      <c r="J22" s="140"/>
      <c r="K22" s="141"/>
    </row>
    <row r="23" spans="2:11" ht="15.75" customHeight="1" x14ac:dyDescent="0.25">
      <c r="B23" s="25" t="s">
        <v>104</v>
      </c>
      <c r="C23" s="26" t="s">
        <v>105</v>
      </c>
      <c r="D23" s="26" t="s">
        <v>106</v>
      </c>
      <c r="E23" s="26" t="s">
        <v>107</v>
      </c>
      <c r="F23" s="51" t="s">
        <v>108</v>
      </c>
      <c r="G23" s="1"/>
      <c r="H23" s="59" t="s">
        <v>105</v>
      </c>
      <c r="I23" s="26" t="s">
        <v>106</v>
      </c>
      <c r="J23" s="26" t="s">
        <v>107</v>
      </c>
      <c r="K23" s="51" t="s">
        <v>108</v>
      </c>
    </row>
    <row r="24" spans="2:11" ht="15.75" customHeight="1" x14ac:dyDescent="0.25">
      <c r="B24" s="109" t="s">
        <v>109</v>
      </c>
      <c r="C24" s="129">
        <v>3276.55</v>
      </c>
      <c r="D24" s="129">
        <v>2970</v>
      </c>
      <c r="E24" s="129">
        <v>3278</v>
      </c>
      <c r="F24" s="130">
        <v>2970</v>
      </c>
      <c r="G24" s="131"/>
      <c r="H24" s="132">
        <v>2932.6</v>
      </c>
      <c r="I24" s="129">
        <v>2705.9</v>
      </c>
      <c r="J24" s="129">
        <v>2920</v>
      </c>
      <c r="K24" s="130">
        <v>2708.65</v>
      </c>
    </row>
    <row r="25" spans="2:11" ht="15.75" customHeight="1" x14ac:dyDescent="0.25">
      <c r="B25" s="112" t="s">
        <v>110</v>
      </c>
      <c r="C25" s="133">
        <v>3210.5</v>
      </c>
      <c r="D25" s="133">
        <v>2719.5</v>
      </c>
      <c r="E25" s="133">
        <v>3211.5</v>
      </c>
      <c r="F25" s="134">
        <v>2718.55</v>
      </c>
      <c r="G25" s="131"/>
      <c r="H25" s="135">
        <v>3218.35</v>
      </c>
      <c r="I25" s="133">
        <v>2892.7</v>
      </c>
      <c r="J25" s="133">
        <v>3219.35</v>
      </c>
      <c r="K25" s="134">
        <v>2893</v>
      </c>
    </row>
    <row r="26" spans="2:11" ht="15.75" customHeight="1" x14ac:dyDescent="0.25">
      <c r="B26" s="112" t="s">
        <v>111</v>
      </c>
      <c r="C26" s="133">
        <v>2940.4</v>
      </c>
      <c r="D26" s="133">
        <v>2560.25</v>
      </c>
      <c r="E26" s="133">
        <v>2939.9</v>
      </c>
      <c r="F26" s="134">
        <v>2560</v>
      </c>
      <c r="G26" s="131"/>
      <c r="H26" s="135">
        <v>3449.75</v>
      </c>
      <c r="I26" s="133">
        <v>3152.3</v>
      </c>
      <c r="J26" s="133">
        <v>3449.6</v>
      </c>
      <c r="K26" s="134">
        <v>3151.15</v>
      </c>
    </row>
    <row r="27" spans="2:11" ht="15.75" customHeight="1" x14ac:dyDescent="0.25">
      <c r="B27" s="112" t="s">
        <v>112</v>
      </c>
      <c r="C27" s="133">
        <v>3354.5</v>
      </c>
      <c r="D27" s="133">
        <v>2686.85</v>
      </c>
      <c r="E27" s="133">
        <v>3354.35</v>
      </c>
      <c r="F27" s="134">
        <v>2685</v>
      </c>
      <c r="G27" s="131"/>
      <c r="H27" s="135">
        <v>3566.9</v>
      </c>
      <c r="I27" s="133">
        <v>3292.85</v>
      </c>
      <c r="J27" s="133">
        <v>3568</v>
      </c>
      <c r="K27" s="134">
        <v>3293.95</v>
      </c>
    </row>
    <row r="28" spans="2:11" ht="15.75" customHeight="1" x14ac:dyDescent="0.25">
      <c r="B28" s="112" t="s">
        <v>113</v>
      </c>
      <c r="C28" s="133">
        <v>3543</v>
      </c>
      <c r="D28" s="133">
        <v>3241.35</v>
      </c>
      <c r="E28" s="133">
        <v>3545.65</v>
      </c>
      <c r="F28" s="134">
        <v>3236.7</v>
      </c>
      <c r="G28" s="131"/>
      <c r="H28" s="135">
        <v>3384.45</v>
      </c>
      <c r="I28" s="133">
        <v>3152</v>
      </c>
      <c r="J28" s="133">
        <v>3385</v>
      </c>
      <c r="K28" s="134">
        <v>3152.15</v>
      </c>
    </row>
    <row r="29" spans="2:11" ht="15.75" customHeight="1" x14ac:dyDescent="0.25">
      <c r="B29" s="112" t="s">
        <v>114</v>
      </c>
      <c r="C29" s="133">
        <v>3590</v>
      </c>
      <c r="D29" s="133">
        <v>3231.9</v>
      </c>
      <c r="E29" s="133">
        <v>3582.9</v>
      </c>
      <c r="F29" s="134">
        <v>3231.3</v>
      </c>
      <c r="G29" s="131"/>
      <c r="H29" s="135">
        <v>3333.5</v>
      </c>
      <c r="I29" s="133">
        <v>3134.4</v>
      </c>
      <c r="J29" s="133">
        <v>3334.8</v>
      </c>
      <c r="K29" s="134">
        <v>3134</v>
      </c>
    </row>
    <row r="30" spans="2:11" ht="15.75" customHeight="1" x14ac:dyDescent="0.25">
      <c r="B30" s="112" t="s">
        <v>115</v>
      </c>
      <c r="C30" s="133">
        <v>3367.45</v>
      </c>
      <c r="D30" s="133">
        <v>3033</v>
      </c>
      <c r="E30" s="133">
        <v>3368.35</v>
      </c>
      <c r="F30" s="134">
        <v>3033</v>
      </c>
      <c r="G30" s="131"/>
      <c r="H30" s="135">
        <v>3232.85</v>
      </c>
      <c r="I30" s="133">
        <v>2932</v>
      </c>
      <c r="J30" s="133">
        <v>3232.1</v>
      </c>
      <c r="K30" s="134">
        <v>2931</v>
      </c>
    </row>
    <row r="31" spans="2:11" ht="15.75" customHeight="1" x14ac:dyDescent="0.25">
      <c r="B31" s="112" t="s">
        <v>116</v>
      </c>
      <c r="C31" s="133">
        <v>3200.15</v>
      </c>
      <c r="D31" s="133">
        <v>3034.6</v>
      </c>
      <c r="E31" s="133">
        <v>3199.95</v>
      </c>
      <c r="F31" s="134">
        <v>3033.5</v>
      </c>
      <c r="G31" s="131"/>
      <c r="H31" s="135">
        <v>3228</v>
      </c>
      <c r="I31" s="133">
        <v>2930.05</v>
      </c>
      <c r="J31" s="133">
        <v>3228.25</v>
      </c>
      <c r="K31" s="134">
        <v>2930</v>
      </c>
    </row>
    <row r="32" spans="2:11" ht="15.75" customHeight="1" x14ac:dyDescent="0.25">
      <c r="B32" s="112" t="s">
        <v>117</v>
      </c>
      <c r="C32" s="133">
        <v>3242.75</v>
      </c>
      <c r="D32" s="133">
        <v>3018</v>
      </c>
      <c r="E32" s="133">
        <v>3242.35</v>
      </c>
      <c r="F32" s="134">
        <v>3018</v>
      </c>
      <c r="G32" s="131"/>
      <c r="H32" s="135">
        <v>3422</v>
      </c>
      <c r="I32" s="133">
        <v>3139.15</v>
      </c>
      <c r="J32" s="133">
        <v>3422.95</v>
      </c>
      <c r="K32" s="134">
        <v>3140.25</v>
      </c>
    </row>
    <row r="33" spans="2:11" ht="15.75" customHeight="1" x14ac:dyDescent="0.25">
      <c r="B33" s="112" t="s">
        <v>118</v>
      </c>
      <c r="C33" s="133">
        <v>3091.9</v>
      </c>
      <c r="D33" s="133">
        <v>2686.15</v>
      </c>
      <c r="E33" s="133">
        <v>3087.9</v>
      </c>
      <c r="F33" s="134">
        <v>2685.85</v>
      </c>
      <c r="G33" s="131"/>
      <c r="H33" s="135">
        <v>3408.4</v>
      </c>
      <c r="I33" s="133">
        <v>2943.5</v>
      </c>
      <c r="J33" s="133">
        <v>3411.8</v>
      </c>
      <c r="K33" s="134">
        <v>2940.05</v>
      </c>
    </row>
    <row r="34" spans="2:11" ht="15.75" customHeight="1" x14ac:dyDescent="0.25">
      <c r="B34" s="112" t="s">
        <v>119</v>
      </c>
      <c r="C34" s="133">
        <v>2851.9</v>
      </c>
      <c r="D34" s="133">
        <v>2694.05</v>
      </c>
      <c r="E34" s="133">
        <v>2852</v>
      </c>
      <c r="F34" s="134">
        <v>2694</v>
      </c>
      <c r="G34" s="131"/>
      <c r="H34" s="135">
        <v>3038.75</v>
      </c>
      <c r="I34" s="133">
        <v>2777</v>
      </c>
      <c r="J34" s="133">
        <v>3035</v>
      </c>
      <c r="K34" s="134">
        <v>2776.75</v>
      </c>
    </row>
    <row r="35" spans="2:11" ht="15.75" customHeight="1" x14ac:dyDescent="0.25">
      <c r="B35" s="112" t="s">
        <v>120</v>
      </c>
      <c r="C35" s="133">
        <v>2920</v>
      </c>
      <c r="D35" s="133">
        <v>2740.35</v>
      </c>
      <c r="E35" s="133">
        <v>2923.95</v>
      </c>
      <c r="F35" s="134">
        <v>2740.05</v>
      </c>
      <c r="G35" s="131"/>
      <c r="H35" s="135">
        <v>2899.75</v>
      </c>
      <c r="I35" s="133">
        <v>2777.8</v>
      </c>
      <c r="J35" s="133">
        <v>2899.9</v>
      </c>
      <c r="K35" s="134">
        <v>2777.75</v>
      </c>
    </row>
    <row r="36" spans="2:11" ht="15.75" customHeight="1" x14ac:dyDescent="0.25">
      <c r="B36" s="11" t="s">
        <v>121</v>
      </c>
      <c r="C36" s="44">
        <f>MAX(C24:C35)</f>
        <v>3590</v>
      </c>
      <c r="D36" s="44">
        <f>MIN(D24:D35)</f>
        <v>2560.25</v>
      </c>
      <c r="E36" s="44">
        <f>MAX(E24:E35)</f>
        <v>3582.9</v>
      </c>
      <c r="F36" s="57">
        <f>MIN(F24:F35)</f>
        <v>2560</v>
      </c>
      <c r="G36" s="36"/>
      <c r="H36" s="58">
        <f>MAX(H24:H35)</f>
        <v>3566.9</v>
      </c>
      <c r="I36" s="44">
        <f>MIN(I24:I35)</f>
        <v>2705.9</v>
      </c>
      <c r="J36" s="44">
        <f>MAX(J24:J35)</f>
        <v>3568</v>
      </c>
      <c r="K36" s="57">
        <f>MIN(K24:K35)</f>
        <v>2708.65</v>
      </c>
    </row>
    <row r="38" spans="2:11" ht="15.75" customHeight="1" x14ac:dyDescent="0.25">
      <c r="B38" s="168" t="s">
        <v>122</v>
      </c>
      <c r="C38" s="169"/>
      <c r="D38" s="169"/>
      <c r="E38" s="169"/>
      <c r="F38" s="169"/>
      <c r="G38" s="169"/>
      <c r="H38" s="170"/>
      <c r="I38" s="2"/>
      <c r="J38" s="2"/>
      <c r="K38" s="2"/>
    </row>
  </sheetData>
  <mergeCells count="2">
    <mergeCell ref="B2:K2"/>
    <mergeCell ref="B38:H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77E6-EB9E-4025-9638-582EE97F1A2C}">
  <sheetPr>
    <tabColor rgb="FF0070C0"/>
  </sheetPr>
  <dimension ref="A2:L41"/>
  <sheetViews>
    <sheetView showGridLines="0" zoomScale="84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defaultRowHeight="15.75" customHeight="1" x14ac:dyDescent="0.25"/>
  <cols>
    <col min="1" max="1" width="2.6640625" customWidth="1"/>
    <col min="2" max="2" width="35" customWidth="1"/>
    <col min="3" max="12" width="16" customWidth="1"/>
  </cols>
  <sheetData>
    <row r="2" spans="2:12" ht="30.75" customHeight="1" x14ac:dyDescent="0.25">
      <c r="B2" s="136" t="s">
        <v>123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2:12" ht="15.75" customHeight="1" x14ac:dyDescent="0.25">
      <c r="B3" s="35" t="s">
        <v>124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5" spans="2:12" ht="15.75" customHeight="1" x14ac:dyDescent="0.25">
      <c r="B5" s="92" t="s">
        <v>125</v>
      </c>
      <c r="C5" s="142">
        <v>44286</v>
      </c>
      <c r="D5" s="137"/>
      <c r="E5" s="142">
        <v>44651</v>
      </c>
      <c r="F5" s="137"/>
      <c r="G5" s="142">
        <v>45016</v>
      </c>
      <c r="H5" s="137"/>
      <c r="I5" s="142">
        <v>45382</v>
      </c>
      <c r="J5" s="137"/>
      <c r="K5" s="142">
        <v>45747</v>
      </c>
      <c r="L5" s="138"/>
    </row>
    <row r="6" spans="2:12" ht="15.75" customHeight="1" x14ac:dyDescent="0.25">
      <c r="B6" s="71" t="s">
        <v>126</v>
      </c>
      <c r="C6" s="72" t="s">
        <v>127</v>
      </c>
      <c r="D6" s="72" t="s">
        <v>128</v>
      </c>
      <c r="E6" s="72" t="s">
        <v>127</v>
      </c>
      <c r="F6" s="72" t="s">
        <v>128</v>
      </c>
      <c r="G6" s="72" t="s">
        <v>127</v>
      </c>
      <c r="H6" s="72" t="s">
        <v>128</v>
      </c>
      <c r="I6" s="72" t="s">
        <v>127</v>
      </c>
      <c r="J6" s="72" t="s">
        <v>128</v>
      </c>
      <c r="K6" s="72" t="s">
        <v>127</v>
      </c>
      <c r="L6" s="73" t="s">
        <v>128</v>
      </c>
    </row>
    <row r="7" spans="2:12" ht="15.75" customHeight="1" x14ac:dyDescent="0.25">
      <c r="B7" s="65" t="s">
        <v>129</v>
      </c>
      <c r="C7" s="62"/>
      <c r="D7" s="62"/>
      <c r="E7" s="62"/>
      <c r="F7" s="62"/>
      <c r="G7" s="62"/>
      <c r="H7" s="62"/>
      <c r="I7" s="62"/>
      <c r="J7" s="62"/>
      <c r="K7" s="62"/>
      <c r="L7" s="68"/>
    </row>
    <row r="8" spans="2:12" ht="15.75" customHeight="1" x14ac:dyDescent="0.25">
      <c r="B8" s="38" t="s">
        <v>130</v>
      </c>
      <c r="C8" s="13">
        <v>100501572</v>
      </c>
      <c r="D8" s="14">
        <v>0.1048</v>
      </c>
      <c r="E8" s="13">
        <v>100501601</v>
      </c>
      <c r="F8" s="14">
        <v>0.1048</v>
      </c>
      <c r="G8" s="13">
        <v>100501601</v>
      </c>
      <c r="H8" s="14">
        <v>0.1048</v>
      </c>
      <c r="I8" s="13">
        <v>100501615</v>
      </c>
      <c r="J8" s="14">
        <v>0.1048</v>
      </c>
      <c r="K8" s="13">
        <v>100501615</v>
      </c>
      <c r="L8" s="15">
        <v>0.1048</v>
      </c>
    </row>
    <row r="9" spans="2:12" ht="15.75" customHeight="1" x14ac:dyDescent="0.25">
      <c r="B9" s="38" t="s">
        <v>131</v>
      </c>
      <c r="C9" s="13">
        <v>405097382</v>
      </c>
      <c r="D9" s="14">
        <v>0.42230000000000001</v>
      </c>
      <c r="E9" s="13">
        <v>403497883</v>
      </c>
      <c r="F9" s="14">
        <v>0.42070000000000002</v>
      </c>
      <c r="G9" s="13">
        <v>403497883</v>
      </c>
      <c r="H9" s="14">
        <v>0.42070000000000002</v>
      </c>
      <c r="I9" s="13">
        <v>403497883</v>
      </c>
      <c r="J9" s="14">
        <v>0.42070000000000002</v>
      </c>
      <c r="K9" s="13">
        <v>403497883</v>
      </c>
      <c r="L9" s="15">
        <v>0.42070000000000002</v>
      </c>
    </row>
    <row r="10" spans="2:12" ht="15.75" customHeight="1" x14ac:dyDescent="0.25">
      <c r="B10" s="38" t="s">
        <v>132</v>
      </c>
      <c r="C10" s="13">
        <v>785700</v>
      </c>
      <c r="D10" s="14">
        <v>8.0000000000000004E-4</v>
      </c>
      <c r="E10" s="13">
        <v>785700</v>
      </c>
      <c r="F10" s="14">
        <v>8.0000000000000004E-4</v>
      </c>
      <c r="G10" s="13">
        <v>785700</v>
      </c>
      <c r="H10" s="14">
        <v>8.0000000000000004E-4</v>
      </c>
      <c r="I10" s="13">
        <v>785700</v>
      </c>
      <c r="J10" s="14">
        <v>8.0000000000000004E-4</v>
      </c>
      <c r="K10" s="13">
        <v>785700</v>
      </c>
      <c r="L10" s="15">
        <v>8.0000000000000004E-4</v>
      </c>
    </row>
    <row r="11" spans="2:12" ht="15.75" customHeight="1" x14ac:dyDescent="0.25">
      <c r="B11" s="66" t="s">
        <v>133</v>
      </c>
      <c r="C11" s="60">
        <f t="shared" ref="C11:L11" si="0">SUM(C8:C10)</f>
        <v>506384654</v>
      </c>
      <c r="D11" s="61">
        <f t="shared" si="0"/>
        <v>0.52790000000000004</v>
      </c>
      <c r="E11" s="60">
        <f t="shared" si="0"/>
        <v>504785184</v>
      </c>
      <c r="F11" s="61">
        <f t="shared" si="0"/>
        <v>0.5263000000000001</v>
      </c>
      <c r="G11" s="60">
        <f t="shared" si="0"/>
        <v>504785184</v>
      </c>
      <c r="H11" s="61">
        <f t="shared" si="0"/>
        <v>0.5263000000000001</v>
      </c>
      <c r="I11" s="60">
        <f t="shared" si="0"/>
        <v>504785198</v>
      </c>
      <c r="J11" s="61">
        <f t="shared" si="0"/>
        <v>0.5263000000000001</v>
      </c>
      <c r="K11" s="60">
        <f t="shared" si="0"/>
        <v>504785198</v>
      </c>
      <c r="L11" s="69">
        <f t="shared" si="0"/>
        <v>0.5263000000000001</v>
      </c>
    </row>
    <row r="12" spans="2:12" ht="15.75" customHeight="1" x14ac:dyDescent="0.25">
      <c r="B12" s="38"/>
      <c r="C12" s="13"/>
      <c r="D12" s="14"/>
      <c r="E12" s="13"/>
      <c r="F12" s="14"/>
      <c r="G12" s="13"/>
      <c r="H12" s="14"/>
      <c r="I12" s="13"/>
      <c r="J12" s="14"/>
      <c r="K12" s="13"/>
      <c r="L12" s="15"/>
    </row>
    <row r="13" spans="2:12" ht="15.75" customHeight="1" x14ac:dyDescent="0.25">
      <c r="B13" s="67" t="s">
        <v>134</v>
      </c>
      <c r="C13" s="63"/>
      <c r="D13" s="64"/>
      <c r="E13" s="63"/>
      <c r="F13" s="64"/>
      <c r="G13" s="63"/>
      <c r="H13" s="64"/>
      <c r="I13" s="63"/>
      <c r="J13" s="64"/>
      <c r="K13" s="63"/>
      <c r="L13" s="70"/>
    </row>
    <row r="14" spans="2:12" ht="15.75" customHeight="1" x14ac:dyDescent="0.25">
      <c r="B14" s="38" t="s">
        <v>59</v>
      </c>
      <c r="C14" s="13">
        <v>28324178</v>
      </c>
      <c r="D14" s="14">
        <v>2.9499999999999998E-2</v>
      </c>
      <c r="E14" s="13">
        <v>30489736</v>
      </c>
      <c r="F14" s="14">
        <v>3.1800000000000002E-2</v>
      </c>
      <c r="G14" s="13">
        <v>35480427</v>
      </c>
      <c r="H14" s="14">
        <v>3.6999999999999998E-2</v>
      </c>
      <c r="I14" s="13">
        <v>35943111</v>
      </c>
      <c r="J14" s="14">
        <v>3.7400000000000003E-2</v>
      </c>
      <c r="K14" s="13">
        <v>54412484</v>
      </c>
      <c r="L14" s="15">
        <v>5.67E-2</v>
      </c>
    </row>
    <row r="15" spans="2:12" ht="15.75" customHeight="1" x14ac:dyDescent="0.25">
      <c r="B15" s="38" t="s">
        <v>135</v>
      </c>
      <c r="C15" s="13">
        <v>241207</v>
      </c>
      <c r="D15" s="14">
        <v>2.9999999999999997E-4</v>
      </c>
      <c r="E15" s="13">
        <v>573722</v>
      </c>
      <c r="F15" s="14">
        <v>5.9999999999999995E-4</v>
      </c>
      <c r="G15" s="13">
        <v>903643</v>
      </c>
      <c r="H15" s="14">
        <v>8.9999999999999998E-4</v>
      </c>
      <c r="I15" s="13">
        <v>569765</v>
      </c>
      <c r="J15" s="14">
        <v>5.9999999999999995E-4</v>
      </c>
      <c r="K15" s="13">
        <v>621534</v>
      </c>
      <c r="L15" s="15">
        <v>6.9999999999999999E-4</v>
      </c>
    </row>
    <row r="16" spans="2:12" ht="15.75" customHeight="1" x14ac:dyDescent="0.25">
      <c r="B16" s="38" t="s">
        <v>136</v>
      </c>
      <c r="C16" s="13">
        <v>755587</v>
      </c>
      <c r="D16" s="14">
        <v>8.0000000000000004E-4</v>
      </c>
      <c r="E16" s="13">
        <v>403162</v>
      </c>
      <c r="F16" s="14">
        <v>4.0000000000000002E-4</v>
      </c>
      <c r="G16" s="13">
        <v>447719</v>
      </c>
      <c r="H16" s="14">
        <v>5.0000000000000001E-4</v>
      </c>
      <c r="I16" s="13">
        <v>532300</v>
      </c>
      <c r="J16" s="14">
        <v>5.9999999999999995E-4</v>
      </c>
      <c r="K16" s="13">
        <v>598282</v>
      </c>
      <c r="L16" s="15">
        <v>5.9999999999999995E-4</v>
      </c>
    </row>
    <row r="17" spans="1:12" ht="15.75" customHeight="1" x14ac:dyDescent="0.25">
      <c r="B17" s="38" t="s">
        <v>60</v>
      </c>
      <c r="C17" s="13">
        <v>32541192</v>
      </c>
      <c r="D17" s="14">
        <v>3.39E-2</v>
      </c>
      <c r="E17" s="13">
        <v>32311398</v>
      </c>
      <c r="F17" s="14">
        <v>3.3700000000000001E-2</v>
      </c>
      <c r="G17" s="13">
        <v>50960273</v>
      </c>
      <c r="H17" s="14">
        <v>5.3100000000000001E-2</v>
      </c>
      <c r="I17" s="13">
        <v>68118790</v>
      </c>
      <c r="J17" s="14">
        <v>7.0999999999999994E-2</v>
      </c>
      <c r="K17" s="13">
        <v>91076329</v>
      </c>
      <c r="L17" s="15">
        <v>9.5000000000000001E-2</v>
      </c>
    </row>
    <row r="18" spans="1:12" ht="15.75" customHeight="1" x14ac:dyDescent="0.25">
      <c r="B18" s="38" t="s">
        <v>137</v>
      </c>
      <c r="C18" s="13">
        <v>195465081</v>
      </c>
      <c r="D18" s="14">
        <v>0.20380000000000001</v>
      </c>
      <c r="E18" s="13">
        <v>186530056</v>
      </c>
      <c r="F18" s="14">
        <v>0.19450000000000001</v>
      </c>
      <c r="G18" s="13">
        <v>163174737</v>
      </c>
      <c r="H18" s="14">
        <v>0.1701</v>
      </c>
      <c r="I18" s="13">
        <v>152394384</v>
      </c>
      <c r="J18" s="14">
        <v>0.15890000000000001</v>
      </c>
      <c r="K18" s="13">
        <v>117253642</v>
      </c>
      <c r="L18" s="15">
        <v>0.1222</v>
      </c>
    </row>
    <row r="19" spans="1:12" ht="15.75" customHeight="1" x14ac:dyDescent="0.25">
      <c r="B19" s="66" t="s">
        <v>138</v>
      </c>
      <c r="C19" s="60">
        <f t="shared" ref="C19:L19" si="1">SUM(C14:C18)</f>
        <v>257327245</v>
      </c>
      <c r="D19" s="61">
        <f t="shared" si="1"/>
        <v>0.26829999999999998</v>
      </c>
      <c r="E19" s="60">
        <f t="shared" si="1"/>
        <v>250308074</v>
      </c>
      <c r="F19" s="61">
        <f t="shared" si="1"/>
        <v>0.26100000000000001</v>
      </c>
      <c r="G19" s="60">
        <f t="shared" si="1"/>
        <v>250966799</v>
      </c>
      <c r="H19" s="61">
        <f t="shared" si="1"/>
        <v>0.2616</v>
      </c>
      <c r="I19" s="60">
        <f t="shared" si="1"/>
        <v>257558350</v>
      </c>
      <c r="J19" s="61">
        <f t="shared" si="1"/>
        <v>0.26850000000000002</v>
      </c>
      <c r="K19" s="60">
        <f t="shared" si="1"/>
        <v>263962271</v>
      </c>
      <c r="L19" s="69">
        <f t="shared" si="1"/>
        <v>0.2752</v>
      </c>
    </row>
    <row r="20" spans="1:12" ht="15.75" customHeight="1" x14ac:dyDescent="0.25">
      <c r="B20" s="38"/>
      <c r="C20" s="13"/>
      <c r="D20" s="14"/>
      <c r="E20" s="13"/>
      <c r="F20" s="14"/>
      <c r="G20" s="13"/>
      <c r="H20" s="14"/>
      <c r="I20" s="13"/>
      <c r="J20" s="14"/>
      <c r="K20" s="13"/>
      <c r="L20" s="15"/>
    </row>
    <row r="21" spans="1:12" ht="15.75" customHeight="1" x14ac:dyDescent="0.25">
      <c r="B21" s="67" t="s">
        <v>139</v>
      </c>
      <c r="C21" s="63"/>
      <c r="D21" s="64"/>
      <c r="E21" s="63"/>
      <c r="F21" s="64"/>
      <c r="G21" s="63"/>
      <c r="H21" s="64"/>
      <c r="I21" s="63"/>
      <c r="J21" s="64"/>
      <c r="K21" s="63"/>
      <c r="L21" s="70"/>
    </row>
    <row r="22" spans="1:12" ht="15.75" customHeight="1" x14ac:dyDescent="0.25">
      <c r="B22" s="38" t="s">
        <v>131</v>
      </c>
      <c r="C22" s="13">
        <v>58615872</v>
      </c>
      <c r="D22" s="14">
        <v>6.1100000000000002E-2</v>
      </c>
      <c r="E22" s="13">
        <v>60032192</v>
      </c>
      <c r="F22" s="14">
        <v>6.2600000000000003E-2</v>
      </c>
      <c r="G22" s="13">
        <v>56112731</v>
      </c>
      <c r="H22" s="14">
        <v>5.8500000000000003E-2</v>
      </c>
      <c r="I22" s="13">
        <v>55308275</v>
      </c>
      <c r="J22" s="14">
        <v>5.7599999999999998E-2</v>
      </c>
      <c r="K22" s="13">
        <v>54738300</v>
      </c>
      <c r="L22" s="15">
        <v>5.7099999999999998E-2</v>
      </c>
    </row>
    <row r="23" spans="1:12" ht="15.75" customHeight="1" x14ac:dyDescent="0.25">
      <c r="B23" s="38" t="s">
        <v>140</v>
      </c>
      <c r="C23" s="13">
        <v>110338374</v>
      </c>
      <c r="D23" s="14">
        <v>0.115</v>
      </c>
      <c r="E23" s="13">
        <v>117609621</v>
      </c>
      <c r="F23" s="14">
        <v>0.1226</v>
      </c>
      <c r="G23" s="13">
        <v>119318506</v>
      </c>
      <c r="H23" s="14">
        <v>0.1244</v>
      </c>
      <c r="I23" s="13">
        <v>114917107</v>
      </c>
      <c r="J23" s="14">
        <v>0.1198</v>
      </c>
      <c r="K23" s="13">
        <v>113405352</v>
      </c>
      <c r="L23" s="15">
        <v>0.1182</v>
      </c>
    </row>
    <row r="24" spans="1:12" ht="15.75" customHeight="1" x14ac:dyDescent="0.25">
      <c r="B24" s="38" t="s">
        <v>141</v>
      </c>
      <c r="C24" s="13">
        <v>8690945</v>
      </c>
      <c r="D24" s="14">
        <v>9.1000000000000004E-3</v>
      </c>
      <c r="E24" s="13">
        <v>8377394</v>
      </c>
      <c r="F24" s="14">
        <v>8.6999999999999994E-3</v>
      </c>
      <c r="G24" s="13">
        <v>8410007</v>
      </c>
      <c r="H24" s="14">
        <v>8.8000000000000005E-3</v>
      </c>
      <c r="I24" s="13">
        <v>8039199</v>
      </c>
      <c r="J24" s="14">
        <v>8.3999999999999995E-3</v>
      </c>
      <c r="K24" s="13">
        <v>7460871</v>
      </c>
      <c r="L24" s="15">
        <v>7.7999999999999996E-3</v>
      </c>
    </row>
    <row r="25" spans="1:12" ht="15.75" customHeight="1" x14ac:dyDescent="0.25">
      <c r="B25" s="38" t="s">
        <v>142</v>
      </c>
      <c r="C25" s="13">
        <v>11819535</v>
      </c>
      <c r="D25" s="14">
        <v>1.23E-2</v>
      </c>
      <c r="E25" s="13">
        <v>12104118</v>
      </c>
      <c r="F25" s="14">
        <v>1.26E-2</v>
      </c>
      <c r="G25" s="13">
        <v>12341659</v>
      </c>
      <c r="H25" s="14">
        <v>1.29E-2</v>
      </c>
      <c r="I25" s="13">
        <v>12219480</v>
      </c>
      <c r="J25" s="14">
        <v>1.2800000000000001E-2</v>
      </c>
      <c r="K25" s="13">
        <v>11921545</v>
      </c>
      <c r="L25" s="15">
        <v>1.24E-2</v>
      </c>
    </row>
    <row r="26" spans="1:12" ht="15.75" customHeight="1" x14ac:dyDescent="0.25">
      <c r="B26" s="38" t="s">
        <v>143</v>
      </c>
      <c r="C26" s="13">
        <v>8995</v>
      </c>
      <c r="D26" s="14">
        <v>0</v>
      </c>
      <c r="E26" s="13">
        <v>6216</v>
      </c>
      <c r="F26" s="14">
        <v>0</v>
      </c>
      <c r="G26" s="13">
        <v>6248</v>
      </c>
      <c r="H26" s="14">
        <v>0</v>
      </c>
      <c r="I26" s="13">
        <v>5654</v>
      </c>
      <c r="J26" s="14">
        <v>0</v>
      </c>
      <c r="K26" s="13">
        <v>3670</v>
      </c>
      <c r="L26" s="15">
        <v>0</v>
      </c>
    </row>
    <row r="27" spans="1:12" ht="15.75" customHeight="1" x14ac:dyDescent="0.25">
      <c r="B27" s="38" t="s">
        <v>144</v>
      </c>
      <c r="C27" s="13">
        <v>6012170</v>
      </c>
      <c r="D27" s="14">
        <v>6.3E-3</v>
      </c>
      <c r="E27" s="13">
        <v>5974991</v>
      </c>
      <c r="F27" s="14">
        <v>6.1999999999999998E-3</v>
      </c>
      <c r="G27" s="13">
        <v>7256656</v>
      </c>
      <c r="H27" s="14">
        <v>7.4999999999999997E-3</v>
      </c>
      <c r="I27" s="13">
        <v>6364527</v>
      </c>
      <c r="J27" s="14">
        <v>6.6E-3</v>
      </c>
      <c r="K27" s="13">
        <v>2920583</v>
      </c>
      <c r="L27" s="15">
        <v>3.0000000000000001E-3</v>
      </c>
    </row>
    <row r="28" spans="1:12" ht="15.75" customHeight="1" x14ac:dyDescent="0.25">
      <c r="B28" s="66" t="s">
        <v>145</v>
      </c>
      <c r="C28" s="60">
        <f t="shared" ref="C28:L28" si="2">SUM(C22:C27)</f>
        <v>195485891</v>
      </c>
      <c r="D28" s="61">
        <f t="shared" si="2"/>
        <v>0.20380000000000001</v>
      </c>
      <c r="E28" s="60">
        <f t="shared" si="2"/>
        <v>204104532</v>
      </c>
      <c r="F28" s="61">
        <f t="shared" si="2"/>
        <v>0.21270000000000003</v>
      </c>
      <c r="G28" s="60">
        <f t="shared" si="2"/>
        <v>203445807</v>
      </c>
      <c r="H28" s="61">
        <f t="shared" si="2"/>
        <v>0.21210000000000001</v>
      </c>
      <c r="I28" s="60">
        <f t="shared" si="2"/>
        <v>196854242</v>
      </c>
      <c r="J28" s="61">
        <f t="shared" si="2"/>
        <v>0.20519999999999999</v>
      </c>
      <c r="K28" s="60">
        <f t="shared" si="2"/>
        <v>190450321</v>
      </c>
      <c r="L28" s="69">
        <f t="shared" si="2"/>
        <v>0.19850000000000001</v>
      </c>
    </row>
    <row r="29" spans="1:12" ht="15.75" customHeight="1" x14ac:dyDescent="0.25">
      <c r="B29" s="38"/>
      <c r="C29" s="13"/>
      <c r="D29" s="14"/>
      <c r="E29" s="13"/>
      <c r="F29" s="14"/>
      <c r="G29" s="13"/>
      <c r="H29" s="14"/>
      <c r="I29" s="13"/>
      <c r="J29" s="14"/>
      <c r="K29" s="13"/>
      <c r="L29" s="15"/>
    </row>
    <row r="30" spans="1:12" ht="15.75" customHeight="1" x14ac:dyDescent="0.25">
      <c r="B30" s="66" t="s">
        <v>146</v>
      </c>
      <c r="C30" s="60">
        <f t="shared" ref="C30:L30" si="3">C19+C28</f>
        <v>452813136</v>
      </c>
      <c r="D30" s="61">
        <f t="shared" si="3"/>
        <v>0.47209999999999996</v>
      </c>
      <c r="E30" s="60">
        <f t="shared" si="3"/>
        <v>454412606</v>
      </c>
      <c r="F30" s="61">
        <f t="shared" si="3"/>
        <v>0.47370000000000001</v>
      </c>
      <c r="G30" s="60">
        <f t="shared" si="3"/>
        <v>454412606</v>
      </c>
      <c r="H30" s="61">
        <f t="shared" si="3"/>
        <v>0.47370000000000001</v>
      </c>
      <c r="I30" s="60">
        <f t="shared" si="3"/>
        <v>454412592</v>
      </c>
      <c r="J30" s="61">
        <f t="shared" si="3"/>
        <v>0.47370000000000001</v>
      </c>
      <c r="K30" s="60">
        <f t="shared" si="3"/>
        <v>454412592</v>
      </c>
      <c r="L30" s="69">
        <f t="shared" si="3"/>
        <v>0.47370000000000001</v>
      </c>
    </row>
    <row r="31" spans="1:12" ht="15.75" customHeight="1" x14ac:dyDescent="0.25">
      <c r="A31" s="143"/>
      <c r="B31" s="144" t="s">
        <v>147</v>
      </c>
      <c r="C31" s="145">
        <f t="shared" ref="C31:L31" si="4">C11+C30</f>
        <v>959197790</v>
      </c>
      <c r="D31" s="146">
        <f t="shared" si="4"/>
        <v>1</v>
      </c>
      <c r="E31" s="145">
        <f t="shared" si="4"/>
        <v>959197790</v>
      </c>
      <c r="F31" s="146">
        <f t="shared" si="4"/>
        <v>1</v>
      </c>
      <c r="G31" s="145">
        <f t="shared" si="4"/>
        <v>959197790</v>
      </c>
      <c r="H31" s="146">
        <f t="shared" si="4"/>
        <v>1</v>
      </c>
      <c r="I31" s="145">
        <f t="shared" si="4"/>
        <v>959197790</v>
      </c>
      <c r="J31" s="146">
        <f t="shared" si="4"/>
        <v>1</v>
      </c>
      <c r="K31" s="145">
        <f t="shared" si="4"/>
        <v>959197790</v>
      </c>
      <c r="L31" s="147">
        <f t="shared" si="4"/>
        <v>1</v>
      </c>
    </row>
    <row r="33" spans="1:12" ht="15.75" customHeight="1" x14ac:dyDescent="0.25">
      <c r="A33" s="143"/>
      <c r="B33" s="89" t="s">
        <v>148</v>
      </c>
      <c r="C33" s="90"/>
      <c r="D33" s="90"/>
      <c r="E33" s="90"/>
      <c r="F33" s="90"/>
      <c r="G33" s="90"/>
      <c r="H33" s="90"/>
      <c r="I33" s="90"/>
      <c r="J33" s="90"/>
      <c r="K33" s="90"/>
      <c r="L33" s="91"/>
    </row>
    <row r="34" spans="1:12" ht="15.75" customHeight="1" x14ac:dyDescent="0.25">
      <c r="B34" s="16" t="s">
        <v>149</v>
      </c>
      <c r="C34" s="17" t="s">
        <v>150</v>
      </c>
      <c r="D34" s="17" t="s">
        <v>151</v>
      </c>
      <c r="E34" s="4"/>
      <c r="F34" s="4"/>
      <c r="G34" s="4"/>
      <c r="H34" s="4"/>
      <c r="I34" s="4"/>
      <c r="J34" s="4"/>
      <c r="K34" s="4"/>
      <c r="L34" s="5"/>
    </row>
    <row r="35" spans="1:12" ht="15.75" customHeight="1" x14ac:dyDescent="0.25">
      <c r="B35" s="74">
        <v>44286</v>
      </c>
      <c r="C35" s="19">
        <v>47808322</v>
      </c>
      <c r="D35" s="20">
        <v>4.9799999999999997E-2</v>
      </c>
      <c r="E35" s="4"/>
      <c r="F35" s="4"/>
      <c r="G35" s="4"/>
      <c r="H35" s="4"/>
      <c r="I35" s="4"/>
      <c r="J35" s="4"/>
      <c r="K35" s="4"/>
      <c r="L35" s="5"/>
    </row>
    <row r="36" spans="1:12" ht="15.75" customHeight="1" x14ac:dyDescent="0.25">
      <c r="B36" s="75">
        <v>44651</v>
      </c>
      <c r="C36" s="76">
        <v>55924738</v>
      </c>
      <c r="D36" s="77">
        <v>5.8299999999999998E-2</v>
      </c>
      <c r="E36" s="7"/>
      <c r="F36" s="7"/>
      <c r="G36" s="7"/>
      <c r="H36" s="7"/>
      <c r="I36" s="7"/>
      <c r="J36" s="7"/>
      <c r="K36" s="7"/>
      <c r="L36" s="8"/>
    </row>
    <row r="38" spans="1:12" ht="15.75" customHeight="1" x14ac:dyDescent="0.25">
      <c r="B38" s="160" t="s">
        <v>152</v>
      </c>
      <c r="C38" s="161"/>
      <c r="D38" s="161"/>
      <c r="E38" s="162"/>
      <c r="F38" s="2"/>
      <c r="G38" s="2"/>
      <c r="H38" s="2"/>
      <c r="I38" s="2"/>
      <c r="J38" s="2"/>
      <c r="K38" s="2"/>
      <c r="L38" s="2"/>
    </row>
    <row r="39" spans="1:12" ht="15.75" customHeight="1" x14ac:dyDescent="0.25">
      <c r="B39" s="163" t="s">
        <v>153</v>
      </c>
      <c r="C39" s="29"/>
      <c r="D39" s="29"/>
      <c r="E39" s="164"/>
      <c r="F39" s="2"/>
      <c r="G39" s="2"/>
      <c r="H39" s="2"/>
      <c r="I39" s="2"/>
      <c r="J39" s="2"/>
      <c r="K39" s="2"/>
      <c r="L39" s="2"/>
    </row>
    <row r="40" spans="1:12" ht="15.75" customHeight="1" x14ac:dyDescent="0.25">
      <c r="B40" s="163" t="s">
        <v>154</v>
      </c>
      <c r="C40" s="29"/>
      <c r="D40" s="29"/>
      <c r="E40" s="164"/>
      <c r="F40" s="2"/>
      <c r="G40" s="2"/>
      <c r="H40" s="2"/>
      <c r="I40" s="2"/>
      <c r="J40" s="2"/>
      <c r="K40" s="2"/>
      <c r="L40" s="2"/>
    </row>
    <row r="41" spans="1:12" ht="15.75" customHeight="1" x14ac:dyDescent="0.25">
      <c r="B41" s="165" t="s">
        <v>155</v>
      </c>
      <c r="C41" s="166"/>
      <c r="D41" s="166"/>
      <c r="E41" s="167"/>
      <c r="F41" s="2"/>
      <c r="G41" s="2"/>
      <c r="H41" s="2"/>
      <c r="I41" s="2"/>
      <c r="J41" s="2"/>
      <c r="K41" s="2"/>
      <c r="L41" s="2"/>
    </row>
  </sheetData>
  <mergeCells count="1"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28D6-5104-49F2-9E82-0A5EC12A544E}">
  <sheetPr>
    <tabColor rgb="FF0070C0"/>
  </sheetPr>
  <dimension ref="B2:G50"/>
  <sheetViews>
    <sheetView showGridLines="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3" sqref="C53"/>
    </sheetView>
  </sheetViews>
  <sheetFormatPr defaultRowHeight="15.75" customHeight="1" x14ac:dyDescent="0.25"/>
  <cols>
    <col min="1" max="1" width="2.33203125" customWidth="1"/>
    <col min="2" max="2" width="19.21875" bestFit="1" customWidth="1"/>
    <col min="3" max="3" width="42.109375" customWidth="1"/>
    <col min="4" max="4" width="15.5546875" customWidth="1"/>
    <col min="5" max="5" width="19" customWidth="1"/>
    <col min="6" max="6" width="13.88671875" customWidth="1"/>
    <col min="7" max="7" width="10.6640625" customWidth="1"/>
  </cols>
  <sheetData>
    <row r="2" spans="2:7" ht="26.1" customHeight="1" x14ac:dyDescent="0.25">
      <c r="B2" s="136" t="s">
        <v>174</v>
      </c>
      <c r="C2" s="136"/>
      <c r="D2" s="136"/>
      <c r="E2" s="136"/>
      <c r="F2" s="136"/>
      <c r="G2" s="136"/>
    </row>
    <row r="3" spans="2:7" ht="15.75" customHeight="1" x14ac:dyDescent="0.25">
      <c r="B3" s="149" t="s">
        <v>175</v>
      </c>
      <c r="C3" s="149"/>
      <c r="D3" s="149"/>
      <c r="E3" s="149"/>
      <c r="F3" s="149"/>
      <c r="G3" s="148"/>
    </row>
    <row r="5" spans="2:7" ht="15.75" customHeight="1" x14ac:dyDescent="0.25">
      <c r="B5" s="92" t="s">
        <v>176</v>
      </c>
      <c r="C5" s="93"/>
      <c r="D5" s="93"/>
      <c r="E5" s="93"/>
      <c r="F5" s="93"/>
      <c r="G5" s="94"/>
    </row>
    <row r="6" spans="2:7" ht="15.75" customHeight="1" x14ac:dyDescent="0.25">
      <c r="B6" s="85" t="s">
        <v>177</v>
      </c>
      <c r="C6" s="86" t="s">
        <v>178</v>
      </c>
      <c r="D6" s="86" t="s">
        <v>126</v>
      </c>
      <c r="E6" s="86" t="s">
        <v>179</v>
      </c>
      <c r="F6" s="72" t="s">
        <v>127</v>
      </c>
      <c r="G6" s="73" t="s">
        <v>180</v>
      </c>
    </row>
    <row r="7" spans="2:7" ht="15.75" customHeight="1" x14ac:dyDescent="0.25">
      <c r="B7" s="83">
        <v>1</v>
      </c>
      <c r="C7" s="37" t="s">
        <v>181</v>
      </c>
      <c r="D7" s="37" t="s">
        <v>182</v>
      </c>
      <c r="E7" s="37" t="s">
        <v>60</v>
      </c>
      <c r="F7" s="13">
        <v>79475946</v>
      </c>
      <c r="G7" s="15">
        <v>8.2900000000000001E-2</v>
      </c>
    </row>
    <row r="8" spans="2:7" ht="15.75" customHeight="1" x14ac:dyDescent="0.25">
      <c r="B8" s="83">
        <v>2</v>
      </c>
      <c r="C8" s="37" t="s">
        <v>183</v>
      </c>
      <c r="D8" s="37" t="s">
        <v>182</v>
      </c>
      <c r="E8" s="37" t="s">
        <v>131</v>
      </c>
      <c r="F8" s="13">
        <v>46987850</v>
      </c>
      <c r="G8" s="15">
        <v>4.9000000000000002E-2</v>
      </c>
    </row>
    <row r="9" spans="2:7" ht="15.75" customHeight="1" x14ac:dyDescent="0.25">
      <c r="B9" s="83">
        <v>3</v>
      </c>
      <c r="C9" s="37" t="s">
        <v>184</v>
      </c>
      <c r="D9" s="37" t="s">
        <v>182</v>
      </c>
      <c r="E9" s="37" t="s">
        <v>185</v>
      </c>
      <c r="F9" s="13">
        <v>14504965</v>
      </c>
      <c r="G9" s="15">
        <v>1.5100000000000001E-2</v>
      </c>
    </row>
    <row r="10" spans="2:7" ht="15.75" customHeight="1" x14ac:dyDescent="0.25">
      <c r="B10" s="83">
        <v>4</v>
      </c>
      <c r="C10" s="37" t="s">
        <v>186</v>
      </c>
      <c r="D10" s="37" t="s">
        <v>182</v>
      </c>
      <c r="E10" s="37" t="s">
        <v>185</v>
      </c>
      <c r="F10" s="13">
        <v>11882938</v>
      </c>
      <c r="G10" s="15">
        <v>1.24E-2</v>
      </c>
    </row>
    <row r="11" spans="2:7" ht="15.75" customHeight="1" x14ac:dyDescent="0.25">
      <c r="B11" s="83">
        <v>5</v>
      </c>
      <c r="C11" s="37" t="s">
        <v>187</v>
      </c>
      <c r="D11" s="37" t="s">
        <v>182</v>
      </c>
      <c r="E11" s="37" t="s">
        <v>185</v>
      </c>
      <c r="F11" s="13">
        <v>7772128</v>
      </c>
      <c r="G11" s="15">
        <v>8.0999999999999996E-3</v>
      </c>
    </row>
    <row r="12" spans="2:7" ht="15.75" customHeight="1" x14ac:dyDescent="0.25">
      <c r="B12" s="83">
        <v>6</v>
      </c>
      <c r="C12" s="37" t="s">
        <v>188</v>
      </c>
      <c r="D12" s="37" t="s">
        <v>182</v>
      </c>
      <c r="E12" s="37" t="s">
        <v>185</v>
      </c>
      <c r="F12" s="13">
        <v>7434212</v>
      </c>
      <c r="G12" s="15">
        <v>7.7999999999999996E-3</v>
      </c>
    </row>
    <row r="13" spans="2:7" ht="15.75" customHeight="1" x14ac:dyDescent="0.25">
      <c r="B13" s="83">
        <v>7</v>
      </c>
      <c r="C13" s="37" t="s">
        <v>189</v>
      </c>
      <c r="D13" s="37" t="s">
        <v>182</v>
      </c>
      <c r="E13" s="37" t="s">
        <v>190</v>
      </c>
      <c r="F13" s="13">
        <v>6434500</v>
      </c>
      <c r="G13" s="15">
        <v>6.7000000000000002E-3</v>
      </c>
    </row>
    <row r="14" spans="2:7" ht="15.75" customHeight="1" x14ac:dyDescent="0.25">
      <c r="B14" s="83">
        <v>8</v>
      </c>
      <c r="C14" s="37" t="s">
        <v>191</v>
      </c>
      <c r="D14" s="37" t="s">
        <v>182</v>
      </c>
      <c r="E14" s="37" t="s">
        <v>190</v>
      </c>
      <c r="F14" s="13">
        <v>5806256</v>
      </c>
      <c r="G14" s="15">
        <v>6.1000000000000004E-3</v>
      </c>
    </row>
    <row r="15" spans="2:7" ht="15.75" customHeight="1" x14ac:dyDescent="0.25">
      <c r="B15" s="83">
        <v>9</v>
      </c>
      <c r="C15" s="37" t="s">
        <v>192</v>
      </c>
      <c r="D15" s="37" t="s">
        <v>182</v>
      </c>
      <c r="E15" s="37" t="s">
        <v>190</v>
      </c>
      <c r="F15" s="13">
        <v>5259831</v>
      </c>
      <c r="G15" s="15">
        <v>5.4999999999999997E-3</v>
      </c>
    </row>
    <row r="16" spans="2:7" ht="15.75" customHeight="1" x14ac:dyDescent="0.25">
      <c r="B16" s="83">
        <v>10</v>
      </c>
      <c r="C16" s="37" t="s">
        <v>193</v>
      </c>
      <c r="D16" s="37" t="s">
        <v>182</v>
      </c>
      <c r="E16" s="37" t="s">
        <v>190</v>
      </c>
      <c r="F16" s="13">
        <v>4953125</v>
      </c>
      <c r="G16" s="15">
        <v>5.1999999999999998E-3</v>
      </c>
    </row>
    <row r="17" spans="2:7" ht="15.75" customHeight="1" x14ac:dyDescent="0.25">
      <c r="B17" s="84" t="s">
        <v>194</v>
      </c>
      <c r="C17" s="78"/>
      <c r="D17" s="78"/>
      <c r="E17" s="78"/>
      <c r="F17" s="79">
        <f t="shared" ref="F17:G17" si="0">SUM(F7:F16)</f>
        <v>190511751</v>
      </c>
      <c r="G17" s="82">
        <f t="shared" si="0"/>
        <v>0.19880000000000003</v>
      </c>
    </row>
    <row r="19" spans="2:7" ht="15.75" customHeight="1" x14ac:dyDescent="0.25">
      <c r="B19" s="92" t="s">
        <v>195</v>
      </c>
      <c r="C19" s="93"/>
      <c r="D19" s="93"/>
      <c r="E19" s="93"/>
      <c r="F19" s="93"/>
      <c r="G19" s="94"/>
    </row>
    <row r="20" spans="2:7" ht="15.75" customHeight="1" x14ac:dyDescent="0.25">
      <c r="B20" s="85" t="s">
        <v>177</v>
      </c>
      <c r="C20" s="86" t="s">
        <v>178</v>
      </c>
      <c r="D20" s="86" t="s">
        <v>126</v>
      </c>
      <c r="E20" s="86" t="s">
        <v>179</v>
      </c>
      <c r="F20" s="72" t="s">
        <v>127</v>
      </c>
      <c r="G20" s="73" t="s">
        <v>180</v>
      </c>
    </row>
    <row r="21" spans="2:7" ht="15.75" customHeight="1" x14ac:dyDescent="0.25">
      <c r="B21" s="83">
        <v>1</v>
      </c>
      <c r="C21" s="37" t="s">
        <v>181</v>
      </c>
      <c r="D21" s="37" t="s">
        <v>182</v>
      </c>
      <c r="E21" s="37" t="s">
        <v>60</v>
      </c>
      <c r="F21" s="13">
        <v>55454514</v>
      </c>
      <c r="G21" s="15">
        <v>5.7799999999999997E-2</v>
      </c>
    </row>
    <row r="22" spans="2:7" ht="15.75" customHeight="1" x14ac:dyDescent="0.25">
      <c r="B22" s="83">
        <v>2</v>
      </c>
      <c r="C22" s="37" t="s">
        <v>196</v>
      </c>
      <c r="D22" s="37" t="s">
        <v>197</v>
      </c>
      <c r="E22" s="37" t="s">
        <v>197</v>
      </c>
      <c r="F22" s="13">
        <v>54789183</v>
      </c>
      <c r="G22" s="15">
        <v>5.7099999999999998E-2</v>
      </c>
    </row>
    <row r="23" spans="2:7" ht="15.75" customHeight="1" x14ac:dyDescent="0.25">
      <c r="B23" s="83">
        <v>3</v>
      </c>
      <c r="C23" s="37" t="s">
        <v>198</v>
      </c>
      <c r="D23" s="37" t="s">
        <v>197</v>
      </c>
      <c r="E23" s="37" t="s">
        <v>197</v>
      </c>
      <c r="F23" s="13">
        <v>51767638</v>
      </c>
      <c r="G23" s="15">
        <v>5.3999999999999999E-2</v>
      </c>
    </row>
    <row r="24" spans="2:7" ht="15.75" customHeight="1" x14ac:dyDescent="0.25">
      <c r="B24" s="83">
        <v>4</v>
      </c>
      <c r="C24" s="37" t="s">
        <v>183</v>
      </c>
      <c r="D24" s="37" t="s">
        <v>182</v>
      </c>
      <c r="E24" s="37" t="s">
        <v>131</v>
      </c>
      <c r="F24" s="13">
        <v>46987850</v>
      </c>
      <c r="G24" s="15">
        <v>4.9000000000000002E-2</v>
      </c>
    </row>
    <row r="25" spans="2:7" ht="15.75" customHeight="1" x14ac:dyDescent="0.25">
      <c r="B25" s="83">
        <v>5</v>
      </c>
      <c r="C25" s="37" t="s">
        <v>199</v>
      </c>
      <c r="D25" s="37" t="s">
        <v>197</v>
      </c>
      <c r="E25" s="37" t="s">
        <v>197</v>
      </c>
      <c r="F25" s="13">
        <v>45706140</v>
      </c>
      <c r="G25" s="15">
        <v>4.7699999999999999E-2</v>
      </c>
    </row>
    <row r="26" spans="2:7" ht="15.75" customHeight="1" x14ac:dyDescent="0.25">
      <c r="B26" s="83">
        <v>6</v>
      </c>
      <c r="C26" s="37" t="s">
        <v>200</v>
      </c>
      <c r="D26" s="37" t="s">
        <v>197</v>
      </c>
      <c r="E26" s="37" t="s">
        <v>197</v>
      </c>
      <c r="F26" s="13">
        <v>28313860</v>
      </c>
      <c r="G26" s="15">
        <v>2.9499999999999998E-2</v>
      </c>
    </row>
    <row r="27" spans="2:7" ht="15.75" customHeight="1" x14ac:dyDescent="0.25">
      <c r="B27" s="83">
        <v>7</v>
      </c>
      <c r="C27" s="37" t="s">
        <v>201</v>
      </c>
      <c r="D27" s="37" t="s">
        <v>197</v>
      </c>
      <c r="E27" s="37" t="s">
        <v>197</v>
      </c>
      <c r="F27" s="13">
        <v>23150730</v>
      </c>
      <c r="G27" s="15">
        <v>2.41E-2</v>
      </c>
    </row>
    <row r="28" spans="2:7" ht="15.75" customHeight="1" x14ac:dyDescent="0.25">
      <c r="B28" s="83">
        <v>8</v>
      </c>
      <c r="C28" s="37" t="s">
        <v>202</v>
      </c>
      <c r="D28" s="37" t="s">
        <v>197</v>
      </c>
      <c r="E28" s="37" t="s">
        <v>197</v>
      </c>
      <c r="F28" s="13">
        <v>19001760</v>
      </c>
      <c r="G28" s="15">
        <v>1.9800000000000002E-2</v>
      </c>
    </row>
    <row r="29" spans="2:7" ht="15.75" customHeight="1" x14ac:dyDescent="0.25">
      <c r="B29" s="83">
        <v>9</v>
      </c>
      <c r="C29" s="37" t="s">
        <v>203</v>
      </c>
      <c r="D29" s="37" t="s">
        <v>197</v>
      </c>
      <c r="E29" s="37" t="s">
        <v>197</v>
      </c>
      <c r="F29" s="13">
        <v>18849825</v>
      </c>
      <c r="G29" s="15">
        <v>1.9699999999999999E-2</v>
      </c>
    </row>
    <row r="30" spans="2:7" ht="15.75" customHeight="1" x14ac:dyDescent="0.25">
      <c r="B30" s="83">
        <v>10</v>
      </c>
      <c r="C30" s="37" t="s">
        <v>204</v>
      </c>
      <c r="D30" s="37" t="s">
        <v>197</v>
      </c>
      <c r="E30" s="37" t="s">
        <v>197</v>
      </c>
      <c r="F30" s="13">
        <v>18334280</v>
      </c>
      <c r="G30" s="15">
        <v>1.9099999999999999E-2</v>
      </c>
    </row>
    <row r="31" spans="2:7" ht="15.75" customHeight="1" x14ac:dyDescent="0.25">
      <c r="B31" s="84" t="s">
        <v>194</v>
      </c>
      <c r="C31" s="78"/>
      <c r="D31" s="78"/>
      <c r="E31" s="78"/>
      <c r="F31" s="79">
        <f t="shared" ref="F31:G31" si="1">SUM(F21:F30)</f>
        <v>362355780</v>
      </c>
      <c r="G31" s="82">
        <f t="shared" si="1"/>
        <v>0.37780000000000002</v>
      </c>
    </row>
    <row r="33" spans="2:7" ht="15.75" customHeight="1" x14ac:dyDescent="0.25">
      <c r="B33" s="92" t="s">
        <v>205</v>
      </c>
      <c r="C33" s="93"/>
      <c r="D33" s="93"/>
      <c r="E33" s="93"/>
      <c r="F33" s="93"/>
      <c r="G33" s="94"/>
    </row>
    <row r="34" spans="2:7" ht="15.75" customHeight="1" x14ac:dyDescent="0.25">
      <c r="B34" s="85" t="s">
        <v>177</v>
      </c>
      <c r="C34" s="86" t="s">
        <v>178</v>
      </c>
      <c r="D34" s="86" t="s">
        <v>126</v>
      </c>
      <c r="E34" s="86" t="s">
        <v>179</v>
      </c>
      <c r="F34" s="72" t="s">
        <v>127</v>
      </c>
      <c r="G34" s="73" t="s">
        <v>180</v>
      </c>
    </row>
    <row r="35" spans="2:7" ht="15.75" customHeight="1" x14ac:dyDescent="0.25">
      <c r="B35" s="83">
        <v>1</v>
      </c>
      <c r="C35" s="37" t="s">
        <v>198</v>
      </c>
      <c r="D35" s="37" t="s">
        <v>197</v>
      </c>
      <c r="E35" s="37" t="s">
        <v>197</v>
      </c>
      <c r="F35" s="13">
        <v>55339068</v>
      </c>
      <c r="G35" s="15">
        <v>5.7700000000000001E-2</v>
      </c>
    </row>
    <row r="36" spans="2:7" ht="15.75" customHeight="1" x14ac:dyDescent="0.25">
      <c r="B36" s="83">
        <v>2</v>
      </c>
      <c r="C36" s="37" t="s">
        <v>196</v>
      </c>
      <c r="D36" s="37" t="s">
        <v>197</v>
      </c>
      <c r="E36" s="37" t="s">
        <v>197</v>
      </c>
      <c r="F36" s="13">
        <v>54789183</v>
      </c>
      <c r="G36" s="15">
        <v>5.7099999999999998E-2</v>
      </c>
    </row>
    <row r="37" spans="2:7" ht="15.75" customHeight="1" x14ac:dyDescent="0.25">
      <c r="B37" s="83">
        <v>3</v>
      </c>
      <c r="C37" s="37" t="s">
        <v>206</v>
      </c>
      <c r="D37" s="37" t="s">
        <v>182</v>
      </c>
      <c r="E37" s="37" t="s">
        <v>131</v>
      </c>
      <c r="F37" s="13">
        <v>46987850</v>
      </c>
      <c r="G37" s="15">
        <v>4.9000000000000002E-2</v>
      </c>
    </row>
    <row r="38" spans="2:7" ht="15.75" customHeight="1" x14ac:dyDescent="0.25">
      <c r="B38" s="83">
        <v>4</v>
      </c>
      <c r="C38" s="37" t="s">
        <v>199</v>
      </c>
      <c r="D38" s="37" t="s">
        <v>197</v>
      </c>
      <c r="E38" s="37" t="s">
        <v>197</v>
      </c>
      <c r="F38" s="13">
        <v>45706140</v>
      </c>
      <c r="G38" s="15">
        <v>4.7699999999999999E-2</v>
      </c>
    </row>
    <row r="39" spans="2:7" ht="15.75" customHeight="1" x14ac:dyDescent="0.25">
      <c r="B39" s="83">
        <v>5</v>
      </c>
      <c r="C39" s="37" t="s">
        <v>181</v>
      </c>
      <c r="D39" s="37" t="s">
        <v>182</v>
      </c>
      <c r="E39" s="37" t="s">
        <v>60</v>
      </c>
      <c r="F39" s="13">
        <v>36476385</v>
      </c>
      <c r="G39" s="15">
        <v>3.7999999999999999E-2</v>
      </c>
    </row>
    <row r="40" spans="2:7" ht="15.75" customHeight="1" x14ac:dyDescent="0.25">
      <c r="B40" s="83">
        <v>6</v>
      </c>
      <c r="C40" s="37" t="s">
        <v>200</v>
      </c>
      <c r="D40" s="37" t="s">
        <v>197</v>
      </c>
      <c r="E40" s="37" t="s">
        <v>197</v>
      </c>
      <c r="F40" s="13">
        <v>28313860</v>
      </c>
      <c r="G40" s="15">
        <v>2.9499999999999998E-2</v>
      </c>
    </row>
    <row r="41" spans="2:7" ht="15.75" customHeight="1" x14ac:dyDescent="0.25">
      <c r="B41" s="83">
        <v>7</v>
      </c>
      <c r="C41" s="37" t="s">
        <v>201</v>
      </c>
      <c r="D41" s="37" t="s">
        <v>197</v>
      </c>
      <c r="E41" s="37" t="s">
        <v>197</v>
      </c>
      <c r="F41" s="13">
        <v>23150730</v>
      </c>
      <c r="G41" s="15">
        <v>2.41E-2</v>
      </c>
    </row>
    <row r="42" spans="2:7" ht="15.75" customHeight="1" x14ac:dyDescent="0.25">
      <c r="B42" s="83">
        <v>8</v>
      </c>
      <c r="C42" s="37" t="s">
        <v>202</v>
      </c>
      <c r="D42" s="37" t="s">
        <v>197</v>
      </c>
      <c r="E42" s="37" t="s">
        <v>197</v>
      </c>
      <c r="F42" s="13">
        <v>19001760</v>
      </c>
      <c r="G42" s="15">
        <v>1.9800000000000002E-2</v>
      </c>
    </row>
    <row r="43" spans="2:7" ht="15.75" customHeight="1" x14ac:dyDescent="0.25">
      <c r="B43" s="83">
        <v>9</v>
      </c>
      <c r="C43" s="37" t="s">
        <v>203</v>
      </c>
      <c r="D43" s="37" t="s">
        <v>197</v>
      </c>
      <c r="E43" s="37" t="s">
        <v>197</v>
      </c>
      <c r="F43" s="13">
        <v>18849825</v>
      </c>
      <c r="G43" s="15">
        <v>1.9699999999999999E-2</v>
      </c>
    </row>
    <row r="44" spans="2:7" ht="15.75" customHeight="1" x14ac:dyDescent="0.25">
      <c r="B44" s="83">
        <v>10</v>
      </c>
      <c r="C44" s="37" t="s">
        <v>204</v>
      </c>
      <c r="D44" s="37" t="s">
        <v>197</v>
      </c>
      <c r="E44" s="37" t="s">
        <v>197</v>
      </c>
      <c r="F44" s="13">
        <v>18334280</v>
      </c>
      <c r="G44" s="15">
        <v>1.9099999999999999E-2</v>
      </c>
    </row>
    <row r="45" spans="2:7" ht="15.75" customHeight="1" x14ac:dyDescent="0.25">
      <c r="B45" s="84" t="s">
        <v>194</v>
      </c>
      <c r="C45" s="78"/>
      <c r="D45" s="78"/>
      <c r="E45" s="78"/>
      <c r="F45" s="79">
        <f t="shared" ref="F45:G45" si="2">SUM(F35:F44)</f>
        <v>346949081</v>
      </c>
      <c r="G45" s="82">
        <f t="shared" si="2"/>
        <v>0.36170000000000002</v>
      </c>
    </row>
    <row r="47" spans="2:7" ht="15.75" customHeight="1" x14ac:dyDescent="0.25">
      <c r="B47" s="150" t="s">
        <v>152</v>
      </c>
      <c r="C47" s="151"/>
      <c r="D47" s="151"/>
      <c r="E47" s="151"/>
      <c r="F47" s="152"/>
      <c r="G47" s="2"/>
    </row>
    <row r="48" spans="2:7" ht="15.75" customHeight="1" x14ac:dyDescent="0.25">
      <c r="B48" s="153" t="s">
        <v>207</v>
      </c>
      <c r="C48" s="154"/>
      <c r="D48" s="154"/>
      <c r="E48" s="154"/>
      <c r="F48" s="155"/>
      <c r="G48" s="2"/>
    </row>
    <row r="49" spans="2:7" ht="15.75" customHeight="1" x14ac:dyDescent="0.25">
      <c r="B49" s="153" t="s">
        <v>208</v>
      </c>
      <c r="C49" s="154"/>
      <c r="D49" s="154"/>
      <c r="E49" s="154"/>
      <c r="F49" s="156"/>
      <c r="G49" s="2"/>
    </row>
    <row r="50" spans="2:7" ht="15.75" customHeight="1" x14ac:dyDescent="0.25">
      <c r="B50" s="157" t="s">
        <v>209</v>
      </c>
      <c r="C50" s="158"/>
      <c r="D50" s="158"/>
      <c r="E50" s="158"/>
      <c r="F50" s="159"/>
      <c r="G50" s="2"/>
    </row>
  </sheetData>
  <mergeCells count="5">
    <mergeCell ref="B2:G2"/>
    <mergeCell ref="B3:F3"/>
    <mergeCell ref="B48:E48"/>
    <mergeCell ref="B49:F49"/>
    <mergeCell ref="B50:E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4CA1-F5BB-46AE-AE04-A2ADC38EAC33}">
  <sheetPr>
    <tabColor rgb="FF0070C0"/>
  </sheetPr>
  <dimension ref="B2:L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RowHeight="15.75" customHeight="1" x14ac:dyDescent="0.25"/>
  <cols>
    <col min="1" max="1" width="2.33203125" customWidth="1"/>
    <col min="2" max="2" width="19" customWidth="1"/>
    <col min="3" max="3" width="13.33203125" bestFit="1" customWidth="1"/>
    <col min="4" max="4" width="12.33203125" customWidth="1"/>
    <col min="5" max="5" width="13.33203125" bestFit="1" customWidth="1"/>
    <col min="6" max="6" width="12.33203125" customWidth="1"/>
    <col min="7" max="7" width="13.33203125" bestFit="1" customWidth="1"/>
    <col min="8" max="8" width="12.33203125" customWidth="1"/>
    <col min="9" max="9" width="13.33203125" bestFit="1" customWidth="1"/>
    <col min="10" max="10" width="12.33203125" customWidth="1"/>
    <col min="11" max="11" width="13.33203125" bestFit="1" customWidth="1"/>
    <col min="12" max="12" width="12.33203125" customWidth="1"/>
  </cols>
  <sheetData>
    <row r="2" spans="2:12" ht="26.1" customHeight="1" x14ac:dyDescent="0.25">
      <c r="B2" s="136" t="s">
        <v>156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2:12" ht="15.75" customHeight="1" x14ac:dyDescent="0.25">
      <c r="B3" s="183" t="s">
        <v>157</v>
      </c>
      <c r="C3" s="183"/>
      <c r="D3" s="183"/>
      <c r="E3" s="183"/>
      <c r="F3" s="183"/>
      <c r="G3" s="35"/>
      <c r="H3" s="35"/>
      <c r="I3" s="35"/>
      <c r="J3" s="35"/>
      <c r="K3" s="35"/>
      <c r="L3" s="35"/>
    </row>
    <row r="5" spans="2:12" ht="15.75" customHeight="1" x14ac:dyDescent="0.25">
      <c r="B5" s="92" t="s">
        <v>158</v>
      </c>
      <c r="C5" s="142">
        <v>44286</v>
      </c>
      <c r="D5" s="137"/>
      <c r="E5" s="142">
        <v>44651</v>
      </c>
      <c r="F5" s="137"/>
      <c r="G5" s="142">
        <v>45016</v>
      </c>
      <c r="H5" s="137"/>
      <c r="I5" s="142">
        <v>45382</v>
      </c>
      <c r="J5" s="137"/>
      <c r="K5" s="142">
        <v>45747</v>
      </c>
      <c r="L5" s="138"/>
    </row>
    <row r="6" spans="2:12" ht="15.75" customHeight="1" x14ac:dyDescent="0.25">
      <c r="B6" s="71" t="s">
        <v>159</v>
      </c>
      <c r="C6" s="72" t="s">
        <v>160</v>
      </c>
      <c r="D6" s="72" t="s">
        <v>128</v>
      </c>
      <c r="E6" s="72" t="s">
        <v>160</v>
      </c>
      <c r="F6" s="72" t="s">
        <v>128</v>
      </c>
      <c r="G6" s="72" t="s">
        <v>160</v>
      </c>
      <c r="H6" s="72" t="s">
        <v>128</v>
      </c>
      <c r="I6" s="72" t="s">
        <v>160</v>
      </c>
      <c r="J6" s="72" t="s">
        <v>128</v>
      </c>
      <c r="K6" s="72" t="s">
        <v>160</v>
      </c>
      <c r="L6" s="73" t="s">
        <v>128</v>
      </c>
    </row>
    <row r="7" spans="2:12" ht="15.75" customHeight="1" x14ac:dyDescent="0.25">
      <c r="B7" s="38" t="s">
        <v>161</v>
      </c>
      <c r="C7" s="13">
        <v>396917</v>
      </c>
      <c r="D7" s="14">
        <v>0.76</v>
      </c>
      <c r="E7" s="13">
        <v>830945</v>
      </c>
      <c r="F7" s="14">
        <v>0.8417</v>
      </c>
      <c r="G7" s="13">
        <v>958065</v>
      </c>
      <c r="H7" s="14">
        <v>0.84860000000000002</v>
      </c>
      <c r="I7" s="13">
        <v>984436</v>
      </c>
      <c r="J7" s="14">
        <v>0.85740000000000005</v>
      </c>
      <c r="K7" s="13">
        <v>1082734</v>
      </c>
      <c r="L7" s="15">
        <v>0.86270000000000002</v>
      </c>
    </row>
    <row r="8" spans="2:12" ht="15.75" customHeight="1" x14ac:dyDescent="0.25">
      <c r="B8" s="38" t="s">
        <v>162</v>
      </c>
      <c r="C8" s="13">
        <v>52566</v>
      </c>
      <c r="D8" s="14">
        <v>0.1007</v>
      </c>
      <c r="E8" s="13">
        <v>68712</v>
      </c>
      <c r="F8" s="14">
        <v>6.9599999999999995E-2</v>
      </c>
      <c r="G8" s="13">
        <v>76296</v>
      </c>
      <c r="H8" s="14">
        <v>6.7599999999999993E-2</v>
      </c>
      <c r="I8" s="13">
        <v>74606</v>
      </c>
      <c r="J8" s="14">
        <v>6.5000000000000002E-2</v>
      </c>
      <c r="K8" s="13">
        <v>81610</v>
      </c>
      <c r="L8" s="15">
        <v>6.5000000000000002E-2</v>
      </c>
    </row>
    <row r="9" spans="2:12" ht="15.75" customHeight="1" x14ac:dyDescent="0.25">
      <c r="B9" s="38" t="s">
        <v>163</v>
      </c>
      <c r="C9" s="13">
        <v>26249</v>
      </c>
      <c r="D9" s="14">
        <v>5.0299999999999997E-2</v>
      </c>
      <c r="E9" s="13">
        <v>35188</v>
      </c>
      <c r="F9" s="14">
        <v>3.5700000000000003E-2</v>
      </c>
      <c r="G9" s="13">
        <v>41873</v>
      </c>
      <c r="H9" s="14">
        <v>3.7100000000000001E-2</v>
      </c>
      <c r="I9" s="13">
        <v>39231</v>
      </c>
      <c r="J9" s="14">
        <v>3.4099999999999998E-2</v>
      </c>
      <c r="K9" s="13">
        <v>41503</v>
      </c>
      <c r="L9" s="15">
        <v>3.3099999999999997E-2</v>
      </c>
    </row>
    <row r="10" spans="2:12" ht="15.75" customHeight="1" x14ac:dyDescent="0.25">
      <c r="B10" s="38" t="s">
        <v>164</v>
      </c>
      <c r="C10" s="13">
        <v>10314</v>
      </c>
      <c r="D10" s="14">
        <v>1.9800000000000002E-2</v>
      </c>
      <c r="E10" s="13">
        <v>13037</v>
      </c>
      <c r="F10" s="14">
        <v>1.32E-2</v>
      </c>
      <c r="G10" s="13">
        <v>13418</v>
      </c>
      <c r="H10" s="14">
        <v>1.1900000000000001E-2</v>
      </c>
      <c r="I10" s="13">
        <v>12541</v>
      </c>
      <c r="J10" s="14">
        <v>1.09E-2</v>
      </c>
      <c r="K10" s="13">
        <v>12901</v>
      </c>
      <c r="L10" s="15">
        <v>1.03E-2</v>
      </c>
    </row>
    <row r="11" spans="2:12" ht="15.75" customHeight="1" x14ac:dyDescent="0.25">
      <c r="B11" s="38" t="s">
        <v>165</v>
      </c>
      <c r="C11" s="13">
        <v>4968</v>
      </c>
      <c r="D11" s="14">
        <v>9.4999999999999998E-3</v>
      </c>
      <c r="E11" s="13">
        <v>6056</v>
      </c>
      <c r="F11" s="14">
        <v>6.1000000000000004E-3</v>
      </c>
      <c r="G11" s="13">
        <v>6272</v>
      </c>
      <c r="H11" s="14">
        <v>5.4999999999999997E-3</v>
      </c>
      <c r="I11" s="13">
        <v>5992</v>
      </c>
      <c r="J11" s="14">
        <v>5.1999999999999998E-3</v>
      </c>
      <c r="K11" s="13">
        <v>6040</v>
      </c>
      <c r="L11" s="15">
        <v>4.7999999999999996E-3</v>
      </c>
    </row>
    <row r="12" spans="2:12" ht="15.75" customHeight="1" x14ac:dyDescent="0.25">
      <c r="B12" s="38" t="s">
        <v>166</v>
      </c>
      <c r="C12" s="13">
        <v>4079</v>
      </c>
      <c r="D12" s="14">
        <v>7.7999999999999996E-3</v>
      </c>
      <c r="E12" s="13">
        <v>4742</v>
      </c>
      <c r="F12" s="14">
        <v>4.7999999999999996E-3</v>
      </c>
      <c r="G12" s="13">
        <v>4817</v>
      </c>
      <c r="H12" s="14">
        <v>4.3E-3</v>
      </c>
      <c r="I12" s="13">
        <v>4588</v>
      </c>
      <c r="J12" s="14">
        <v>4.0000000000000001E-3</v>
      </c>
      <c r="K12" s="13">
        <v>4621</v>
      </c>
      <c r="L12" s="15">
        <v>3.7000000000000002E-3</v>
      </c>
    </row>
    <row r="13" spans="2:12" ht="15.75" customHeight="1" x14ac:dyDescent="0.25">
      <c r="B13" s="38" t="s">
        <v>167</v>
      </c>
      <c r="C13" s="13">
        <v>7854</v>
      </c>
      <c r="D13" s="14">
        <v>1.4999999999999999E-2</v>
      </c>
      <c r="E13" s="13">
        <v>8854</v>
      </c>
      <c r="F13" s="14">
        <v>8.9999999999999993E-3</v>
      </c>
      <c r="G13" s="13">
        <v>9048</v>
      </c>
      <c r="H13" s="14">
        <v>8.0000000000000002E-3</v>
      </c>
      <c r="I13" s="13">
        <v>8482</v>
      </c>
      <c r="J13" s="14">
        <v>7.4000000000000003E-3</v>
      </c>
      <c r="K13" s="13">
        <v>8138</v>
      </c>
      <c r="L13" s="15">
        <v>6.4999999999999997E-3</v>
      </c>
    </row>
    <row r="14" spans="2:12" ht="15.75" customHeight="1" x14ac:dyDescent="0.25">
      <c r="B14" s="38" t="s">
        <v>168</v>
      </c>
      <c r="C14" s="13">
        <v>12777</v>
      </c>
      <c r="D14" s="14">
        <v>2.4500000000000001E-2</v>
      </c>
      <c r="E14" s="13">
        <v>13277</v>
      </c>
      <c r="F14" s="14">
        <v>1.35E-2</v>
      </c>
      <c r="G14" s="13">
        <v>13067</v>
      </c>
      <c r="H14" s="14">
        <v>1.1599999999999999E-2</v>
      </c>
      <c r="I14" s="13">
        <v>12480</v>
      </c>
      <c r="J14" s="14">
        <v>1.09E-2</v>
      </c>
      <c r="K14" s="13">
        <v>11932</v>
      </c>
      <c r="L14" s="15">
        <v>9.4999999999999998E-3</v>
      </c>
    </row>
    <row r="15" spans="2:12" ht="15.75" customHeight="1" x14ac:dyDescent="0.25">
      <c r="B15" s="38" t="s">
        <v>169</v>
      </c>
      <c r="C15" s="13">
        <v>3430</v>
      </c>
      <c r="D15" s="14">
        <v>6.6E-3</v>
      </c>
      <c r="E15" s="13">
        <v>3370</v>
      </c>
      <c r="F15" s="14">
        <v>3.3999999999999998E-3</v>
      </c>
      <c r="G15" s="13">
        <v>3296</v>
      </c>
      <c r="H15" s="14">
        <v>2.8999999999999998E-3</v>
      </c>
      <c r="I15" s="13">
        <v>3091</v>
      </c>
      <c r="J15" s="14">
        <v>2.7000000000000001E-3</v>
      </c>
      <c r="K15" s="13">
        <v>2953</v>
      </c>
      <c r="L15" s="15">
        <v>2.3999999999999998E-3</v>
      </c>
    </row>
    <row r="16" spans="2:12" ht="15.75" customHeight="1" x14ac:dyDescent="0.25">
      <c r="B16" s="38" t="s">
        <v>170</v>
      </c>
      <c r="C16" s="13">
        <v>3011</v>
      </c>
      <c r="D16" s="14">
        <v>5.7999999999999996E-3</v>
      </c>
      <c r="E16" s="13">
        <v>2995</v>
      </c>
      <c r="F16" s="14">
        <v>3.0000000000000001E-3</v>
      </c>
      <c r="G16" s="13">
        <v>2888</v>
      </c>
      <c r="H16" s="14">
        <v>2.5000000000000001E-3</v>
      </c>
      <c r="I16" s="13">
        <v>2746</v>
      </c>
      <c r="J16" s="14">
        <v>2.3999999999999998E-3</v>
      </c>
      <c r="K16" s="13">
        <v>2545</v>
      </c>
      <c r="L16" s="15">
        <v>2E-3</v>
      </c>
    </row>
    <row r="17" spans="2:12" ht="15.75" customHeight="1" x14ac:dyDescent="0.25">
      <c r="B17" s="81" t="s">
        <v>54</v>
      </c>
      <c r="C17" s="79">
        <f t="shared" ref="C17:L17" si="0">SUM(C7:C16)</f>
        <v>522165</v>
      </c>
      <c r="D17" s="80">
        <f t="shared" si="0"/>
        <v>1</v>
      </c>
      <c r="E17" s="79">
        <f t="shared" si="0"/>
        <v>987176</v>
      </c>
      <c r="F17" s="80">
        <f t="shared" si="0"/>
        <v>0.99999999999999989</v>
      </c>
      <c r="G17" s="79">
        <f t="shared" si="0"/>
        <v>1129040</v>
      </c>
      <c r="H17" s="80">
        <f t="shared" si="0"/>
        <v>0.99999999999999989</v>
      </c>
      <c r="I17" s="79">
        <f t="shared" si="0"/>
        <v>1148193</v>
      </c>
      <c r="J17" s="80">
        <f t="shared" si="0"/>
        <v>1.0000000000000002</v>
      </c>
      <c r="K17" s="79">
        <f t="shared" si="0"/>
        <v>1254977</v>
      </c>
      <c r="L17" s="82">
        <f t="shared" si="0"/>
        <v>0.99999999999999989</v>
      </c>
    </row>
    <row r="19" spans="2:12" ht="15.75" customHeight="1" x14ac:dyDescent="0.25">
      <c r="B19" s="92" t="s">
        <v>171</v>
      </c>
      <c r="C19" s="93"/>
      <c r="D19" s="93"/>
      <c r="E19" s="93"/>
      <c r="F19" s="93"/>
      <c r="G19" s="93"/>
      <c r="H19" s="93"/>
      <c r="I19" s="93"/>
      <c r="J19" s="93"/>
      <c r="K19" s="93"/>
      <c r="L19" s="94"/>
    </row>
    <row r="20" spans="2:12" ht="15.75" customHeight="1" x14ac:dyDescent="0.25">
      <c r="B20" s="71" t="s">
        <v>159</v>
      </c>
      <c r="C20" s="72" t="s">
        <v>127</v>
      </c>
      <c r="D20" s="72" t="s">
        <v>128</v>
      </c>
      <c r="E20" s="72" t="s">
        <v>127</v>
      </c>
      <c r="F20" s="72" t="s">
        <v>128</v>
      </c>
      <c r="G20" s="72" t="s">
        <v>127</v>
      </c>
      <c r="H20" s="72" t="s">
        <v>128</v>
      </c>
      <c r="I20" s="72" t="s">
        <v>127</v>
      </c>
      <c r="J20" s="72" t="s">
        <v>128</v>
      </c>
      <c r="K20" s="72" t="s">
        <v>127</v>
      </c>
      <c r="L20" s="73" t="s">
        <v>128</v>
      </c>
    </row>
    <row r="21" spans="2:12" ht="15.75" customHeight="1" x14ac:dyDescent="0.25">
      <c r="B21" s="38" t="s">
        <v>161</v>
      </c>
      <c r="C21" s="13">
        <v>5144012</v>
      </c>
      <c r="D21" s="184">
        <v>5.4000000000000003E-3</v>
      </c>
      <c r="E21" s="13">
        <v>8971259</v>
      </c>
      <c r="F21" s="184">
        <v>9.4000000000000004E-3</v>
      </c>
      <c r="G21" s="13">
        <v>11028833</v>
      </c>
      <c r="H21" s="184">
        <v>1.15E-2</v>
      </c>
      <c r="I21" s="13">
        <v>11644579</v>
      </c>
      <c r="J21" s="184">
        <v>1.21E-2</v>
      </c>
      <c r="K21" s="13">
        <v>13038099</v>
      </c>
      <c r="L21" s="185">
        <v>1.3599999999999999E-2</v>
      </c>
    </row>
    <row r="22" spans="2:12" ht="15.75" customHeight="1" x14ac:dyDescent="0.25">
      <c r="B22" s="38" t="s">
        <v>162</v>
      </c>
      <c r="C22" s="13">
        <v>4067725</v>
      </c>
      <c r="D22" s="184">
        <v>4.1999999999999997E-3</v>
      </c>
      <c r="E22" s="13">
        <v>5266578</v>
      </c>
      <c r="F22" s="184">
        <v>5.4999999999999997E-3</v>
      </c>
      <c r="G22" s="13">
        <v>5831714</v>
      </c>
      <c r="H22" s="184">
        <v>6.1000000000000004E-3</v>
      </c>
      <c r="I22" s="13">
        <v>5738453</v>
      </c>
      <c r="J22" s="184">
        <v>6.0000000000000001E-3</v>
      </c>
      <c r="K22" s="13">
        <v>6282043</v>
      </c>
      <c r="L22" s="185">
        <v>6.4999999999999997E-3</v>
      </c>
    </row>
    <row r="23" spans="2:12" ht="15.75" customHeight="1" x14ac:dyDescent="0.25">
      <c r="B23" s="38" t="s">
        <v>163</v>
      </c>
      <c r="C23" s="13">
        <v>3910553</v>
      </c>
      <c r="D23" s="184">
        <v>4.1000000000000003E-3</v>
      </c>
      <c r="E23" s="13">
        <v>5235038</v>
      </c>
      <c r="F23" s="184">
        <v>5.4999999999999997E-3</v>
      </c>
      <c r="G23" s="13">
        <v>6236565</v>
      </c>
      <c r="H23" s="184">
        <v>6.4999999999999997E-3</v>
      </c>
      <c r="I23" s="13">
        <v>5863813</v>
      </c>
      <c r="J23" s="184">
        <v>6.1000000000000004E-3</v>
      </c>
      <c r="K23" s="13">
        <v>6146291</v>
      </c>
      <c r="L23" s="185">
        <v>6.4000000000000003E-3</v>
      </c>
    </row>
    <row r="24" spans="2:12" ht="15.75" customHeight="1" x14ac:dyDescent="0.25">
      <c r="B24" s="38" t="s">
        <v>164</v>
      </c>
      <c r="C24" s="13">
        <v>2632924</v>
      </c>
      <c r="D24" s="184">
        <v>2.7000000000000001E-3</v>
      </c>
      <c r="E24" s="13">
        <v>3280386</v>
      </c>
      <c r="F24" s="184">
        <v>3.3999999999999998E-3</v>
      </c>
      <c r="G24" s="13">
        <v>3390187</v>
      </c>
      <c r="H24" s="184">
        <v>3.5000000000000001E-3</v>
      </c>
      <c r="I24" s="13">
        <v>3178103</v>
      </c>
      <c r="J24" s="184">
        <v>3.3E-3</v>
      </c>
      <c r="K24" s="13">
        <v>3256526</v>
      </c>
      <c r="L24" s="185">
        <v>3.3999999999999998E-3</v>
      </c>
    </row>
    <row r="25" spans="2:12" ht="15.75" customHeight="1" x14ac:dyDescent="0.25">
      <c r="B25" s="38" t="s">
        <v>165</v>
      </c>
      <c r="C25" s="13">
        <v>1760563</v>
      </c>
      <c r="D25" s="184">
        <v>1.8E-3</v>
      </c>
      <c r="E25" s="13">
        <v>2142487</v>
      </c>
      <c r="F25" s="184">
        <v>2.2000000000000001E-3</v>
      </c>
      <c r="G25" s="13">
        <v>2232076</v>
      </c>
      <c r="H25" s="184">
        <v>2.3E-3</v>
      </c>
      <c r="I25" s="13">
        <v>2136301</v>
      </c>
      <c r="J25" s="184">
        <v>2.2000000000000001E-3</v>
      </c>
      <c r="K25" s="13">
        <v>2161797</v>
      </c>
      <c r="L25" s="185">
        <v>2.3E-3</v>
      </c>
    </row>
    <row r="26" spans="2:12" ht="15.75" customHeight="1" x14ac:dyDescent="0.25">
      <c r="B26" s="38" t="s">
        <v>166</v>
      </c>
      <c r="C26" s="13">
        <v>1923937</v>
      </c>
      <c r="D26" s="184">
        <v>2E-3</v>
      </c>
      <c r="E26" s="13">
        <v>2222217</v>
      </c>
      <c r="F26" s="184">
        <v>2.3E-3</v>
      </c>
      <c r="G26" s="13">
        <v>2261677</v>
      </c>
      <c r="H26" s="184">
        <v>2.3E-3</v>
      </c>
      <c r="I26" s="13">
        <v>2159467</v>
      </c>
      <c r="J26" s="184">
        <v>2.3E-3</v>
      </c>
      <c r="K26" s="13">
        <v>2172901</v>
      </c>
      <c r="L26" s="185">
        <v>2.3E-3</v>
      </c>
    </row>
    <row r="27" spans="2:12" ht="15.75" customHeight="1" x14ac:dyDescent="0.25">
      <c r="B27" s="38" t="s">
        <v>167</v>
      </c>
      <c r="C27" s="13">
        <v>5973992</v>
      </c>
      <c r="D27" s="184">
        <v>6.1999999999999998E-3</v>
      </c>
      <c r="E27" s="13">
        <v>6644583</v>
      </c>
      <c r="F27" s="184">
        <v>6.8999999999999999E-3</v>
      </c>
      <c r="G27" s="13">
        <v>6782714</v>
      </c>
      <c r="H27" s="184">
        <v>7.1000000000000004E-3</v>
      </c>
      <c r="I27" s="13">
        <v>6392193</v>
      </c>
      <c r="J27" s="184">
        <v>6.7000000000000002E-3</v>
      </c>
      <c r="K27" s="13">
        <v>6107308</v>
      </c>
      <c r="L27" s="185">
        <v>6.4000000000000003E-3</v>
      </c>
    </row>
    <row r="28" spans="2:12" ht="15.75" customHeight="1" x14ac:dyDescent="0.25">
      <c r="B28" s="38" t="s">
        <v>168</v>
      </c>
      <c r="C28" s="13">
        <v>32593645</v>
      </c>
      <c r="D28" s="184">
        <v>3.4000000000000002E-2</v>
      </c>
      <c r="E28" s="13">
        <v>33323610</v>
      </c>
      <c r="F28" s="184">
        <v>3.4700000000000002E-2</v>
      </c>
      <c r="G28" s="13">
        <v>32677879</v>
      </c>
      <c r="H28" s="184">
        <v>3.4099999999999998E-2</v>
      </c>
      <c r="I28" s="13">
        <v>31160635</v>
      </c>
      <c r="J28" s="184">
        <v>3.2500000000000001E-2</v>
      </c>
      <c r="K28" s="13">
        <v>29661772</v>
      </c>
      <c r="L28" s="185">
        <v>3.09E-2</v>
      </c>
    </row>
    <row r="29" spans="2:12" ht="15.75" customHeight="1" x14ac:dyDescent="0.25">
      <c r="B29" s="38" t="s">
        <v>169</v>
      </c>
      <c r="C29" s="13">
        <v>26395202</v>
      </c>
      <c r="D29" s="184">
        <v>2.75E-2</v>
      </c>
      <c r="E29" s="13">
        <v>25846999</v>
      </c>
      <c r="F29" s="184">
        <v>2.69E-2</v>
      </c>
      <c r="G29" s="13">
        <v>25202216</v>
      </c>
      <c r="H29" s="184">
        <v>2.63E-2</v>
      </c>
      <c r="I29" s="13">
        <v>23639756</v>
      </c>
      <c r="J29" s="184">
        <v>2.46E-2</v>
      </c>
      <c r="K29" s="13">
        <v>22578868</v>
      </c>
      <c r="L29" s="185">
        <v>2.35E-2</v>
      </c>
    </row>
    <row r="30" spans="2:12" ht="15.75" customHeight="1" x14ac:dyDescent="0.25">
      <c r="B30" s="38" t="s">
        <v>170</v>
      </c>
      <c r="C30" s="13">
        <v>8747952370</v>
      </c>
      <c r="D30" s="184">
        <v>0.91210000000000002</v>
      </c>
      <c r="E30" s="13">
        <v>8662646330</v>
      </c>
      <c r="F30" s="184">
        <v>0.9032</v>
      </c>
      <c r="G30" s="13">
        <v>8635539290</v>
      </c>
      <c r="H30" s="184">
        <v>0.90029999999999999</v>
      </c>
      <c r="I30" s="13">
        <v>8672844900</v>
      </c>
      <c r="J30" s="184">
        <v>0.9042</v>
      </c>
      <c r="K30" s="13">
        <v>8677921850</v>
      </c>
      <c r="L30" s="185">
        <v>0.90469999999999995</v>
      </c>
    </row>
    <row r="31" spans="2:12" ht="15.75" customHeight="1" x14ac:dyDescent="0.25">
      <c r="B31" s="144" t="s">
        <v>172</v>
      </c>
      <c r="C31" s="145">
        <f t="shared" ref="C31:L31" si="1">SUM(C21:C30)</f>
        <v>8832354923</v>
      </c>
      <c r="D31" s="146">
        <f t="shared" si="1"/>
        <v>1</v>
      </c>
      <c r="E31" s="145">
        <f t="shared" si="1"/>
        <v>8755579487</v>
      </c>
      <c r="F31" s="146">
        <f t="shared" si="1"/>
        <v>1</v>
      </c>
      <c r="G31" s="145">
        <f t="shared" si="1"/>
        <v>8731183151</v>
      </c>
      <c r="H31" s="146">
        <f t="shared" si="1"/>
        <v>1</v>
      </c>
      <c r="I31" s="145">
        <f t="shared" si="1"/>
        <v>8764758200</v>
      </c>
      <c r="J31" s="146">
        <f t="shared" si="1"/>
        <v>1</v>
      </c>
      <c r="K31" s="145">
        <f t="shared" si="1"/>
        <v>8769327455</v>
      </c>
      <c r="L31" s="147">
        <f t="shared" si="1"/>
        <v>1</v>
      </c>
    </row>
    <row r="33" spans="2:12" ht="15.75" customHeight="1" x14ac:dyDescent="0.25">
      <c r="B33" s="168" t="s">
        <v>173</v>
      </c>
      <c r="C33" s="169"/>
      <c r="D33" s="169"/>
      <c r="E33" s="169"/>
      <c r="F33" s="169"/>
      <c r="G33" s="170"/>
      <c r="H33" s="2"/>
      <c r="I33" s="2"/>
      <c r="J33" s="2"/>
      <c r="K33" s="2"/>
      <c r="L33" s="2"/>
    </row>
  </sheetData>
  <mergeCells count="3">
    <mergeCell ref="B2:L2"/>
    <mergeCell ref="B33:G33"/>
    <mergeCell ref="B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9637-12AB-4273-8A87-C5A9AFB52988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Dividends</vt:lpstr>
      <vt:lpstr>Stock Price</vt:lpstr>
      <vt:lpstr>Shareholding</vt:lpstr>
      <vt:lpstr>Top 10</vt:lpstr>
      <vt:lpstr>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Alam</dc:creator>
  <cp:lastModifiedBy>Amaan Alam</cp:lastModifiedBy>
  <dcterms:created xsi:type="dcterms:W3CDTF">2026-05-08T22:06:28Z</dcterms:created>
  <dcterms:modified xsi:type="dcterms:W3CDTF">2026-05-08T22:43:14Z</dcterms:modified>
</cp:coreProperties>
</file>