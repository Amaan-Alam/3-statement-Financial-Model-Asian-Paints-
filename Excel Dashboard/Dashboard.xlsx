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esktop\Finance Projects\Building 3-statement Financial Model\Excel\"/>
    </mc:Choice>
  </mc:AlternateContent>
  <xr:revisionPtr revIDLastSave="0" documentId="8_{5D21D8CF-176E-4575-ADDF-D061B6CAB688}" xr6:coauthVersionLast="47" xr6:coauthVersionMax="47" xr10:uidLastSave="{00000000-0000-0000-0000-000000000000}"/>
  <bookViews>
    <workbookView xWindow="-120" yWindow="-120" windowWidth="23280" windowHeight="14880" xr2:uid="{9BFBDD18-31B3-4F91-93DE-A33BE821913B}"/>
  </bookViews>
  <sheets>
    <sheet name="Dashboard" sheetId="1" r:id="rId1"/>
    <sheet name="__tracelight_scratchpad__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2" i="1" l="1"/>
  <c r="M100" i="1"/>
  <c r="I132" i="1"/>
  <c r="J132" i="1"/>
  <c r="K132" i="1"/>
  <c r="L132" i="1"/>
  <c r="I133" i="1"/>
  <c r="J133" i="1"/>
  <c r="K133" i="1"/>
  <c r="L133" i="1"/>
  <c r="C132" i="1"/>
  <c r="D132" i="1"/>
  <c r="E132" i="1"/>
  <c r="F132" i="1"/>
  <c r="G132" i="1"/>
  <c r="C133" i="1"/>
  <c r="D133" i="1"/>
  <c r="E133" i="1"/>
  <c r="F133" i="1"/>
  <c r="G133" i="1"/>
  <c r="I131" i="1"/>
  <c r="J131" i="1"/>
  <c r="K131" i="1"/>
  <c r="L131" i="1"/>
  <c r="C131" i="1"/>
  <c r="D131" i="1"/>
  <c r="E131" i="1"/>
  <c r="F131" i="1"/>
  <c r="G131" i="1"/>
  <c r="I129" i="1"/>
  <c r="J129" i="1"/>
  <c r="K129" i="1"/>
  <c r="L129" i="1"/>
  <c r="I130" i="1"/>
  <c r="J130" i="1"/>
  <c r="K130" i="1"/>
  <c r="L130" i="1"/>
  <c r="C129" i="1"/>
  <c r="D129" i="1"/>
  <c r="E129" i="1"/>
  <c r="F129" i="1"/>
  <c r="G129" i="1"/>
  <c r="C130" i="1"/>
  <c r="D130" i="1"/>
  <c r="E130" i="1"/>
  <c r="F130" i="1"/>
  <c r="G130" i="1"/>
  <c r="I128" i="1"/>
  <c r="J128" i="1"/>
  <c r="K128" i="1"/>
  <c r="L128" i="1"/>
  <c r="C128" i="1"/>
  <c r="D128" i="1"/>
  <c r="E128" i="1"/>
  <c r="F128" i="1"/>
  <c r="G128" i="1"/>
  <c r="I127" i="1"/>
  <c r="J127" i="1"/>
  <c r="K127" i="1"/>
  <c r="L127" i="1"/>
  <c r="C127" i="1"/>
  <c r="D127" i="1"/>
  <c r="E127" i="1"/>
  <c r="F127" i="1"/>
  <c r="G127" i="1"/>
  <c r="I126" i="1"/>
  <c r="J126" i="1"/>
  <c r="K126" i="1"/>
  <c r="L126" i="1"/>
  <c r="C126" i="1"/>
  <c r="D126" i="1"/>
  <c r="E126" i="1"/>
  <c r="F126" i="1"/>
  <c r="G126" i="1"/>
  <c r="I125" i="1"/>
  <c r="J125" i="1"/>
  <c r="K125" i="1"/>
  <c r="L125" i="1"/>
  <c r="C125" i="1"/>
  <c r="D125" i="1"/>
  <c r="E125" i="1"/>
  <c r="F125" i="1"/>
  <c r="G125" i="1"/>
  <c r="I124" i="1"/>
  <c r="J124" i="1"/>
  <c r="K124" i="1"/>
  <c r="L124" i="1"/>
  <c r="C124" i="1"/>
  <c r="D124" i="1"/>
  <c r="E124" i="1"/>
  <c r="F124" i="1"/>
  <c r="G124" i="1"/>
  <c r="C135" i="1" a="1"/>
  <c r="C135" i="1" s="1"/>
  <c r="D135" i="1" a="1"/>
  <c r="D135" i="1" s="1"/>
  <c r="E135" i="1" a="1"/>
  <c r="E135" i="1"/>
  <c r="F135" i="1" a="1"/>
  <c r="F135" i="1" s="1"/>
  <c r="G135" i="1" a="1"/>
  <c r="G135" i="1" s="1"/>
  <c r="D100" i="1" s="1"/>
  <c r="H135" i="1" a="1"/>
  <c r="H135" i="1" s="1"/>
  <c r="I135" i="1" a="1"/>
  <c r="I135" i="1" s="1"/>
  <c r="J135" i="1" a="1"/>
  <c r="J135" i="1" s="1"/>
  <c r="K135" i="1" a="1"/>
  <c r="K135" i="1" s="1"/>
  <c r="L135" i="1" a="1"/>
  <c r="L135" i="1" s="1"/>
  <c r="C168" i="1"/>
  <c r="D168" i="1"/>
  <c r="E168" i="1"/>
  <c r="F168" i="1"/>
  <c r="G168" i="1"/>
  <c r="H168" i="1"/>
  <c r="I168" i="1"/>
  <c r="J168" i="1"/>
  <c r="K168" i="1"/>
  <c r="L168" i="1"/>
  <c r="C159" i="1"/>
  <c r="D159" i="1"/>
  <c r="E159" i="1"/>
  <c r="F159" i="1"/>
  <c r="G159" i="1"/>
  <c r="H159" i="1"/>
  <c r="I159" i="1"/>
  <c r="J159" i="1"/>
  <c r="K159" i="1"/>
  <c r="L159" i="1"/>
  <c r="C153" i="1"/>
  <c r="D153" i="1"/>
  <c r="E153" i="1"/>
  <c r="F153" i="1"/>
  <c r="G153" i="1"/>
  <c r="H153" i="1"/>
  <c r="I153" i="1"/>
  <c r="J153" i="1"/>
  <c r="K153" i="1"/>
  <c r="L153" i="1"/>
  <c r="C151" i="1"/>
  <c r="D151" i="1"/>
  <c r="E151" i="1"/>
  <c r="F151" i="1"/>
  <c r="G151" i="1"/>
  <c r="H151" i="1"/>
  <c r="I151" i="1"/>
  <c r="J151" i="1"/>
  <c r="K151" i="1"/>
  <c r="L151" i="1"/>
  <c r="C149" i="1"/>
  <c r="D149" i="1"/>
  <c r="E149" i="1"/>
  <c r="F149" i="1"/>
  <c r="G149" i="1"/>
  <c r="H149" i="1"/>
  <c r="I149" i="1"/>
  <c r="J149" i="1"/>
  <c r="K149" i="1"/>
  <c r="L149" i="1"/>
  <c r="D147" i="1"/>
  <c r="E147" i="1"/>
  <c r="F147" i="1"/>
  <c r="G147" i="1"/>
  <c r="H147" i="1"/>
  <c r="I147" i="1"/>
  <c r="J147" i="1"/>
  <c r="K147" i="1"/>
  <c r="L147" i="1"/>
  <c r="E142" i="1"/>
  <c r="D9" i="1" a="1"/>
  <c r="D9" i="1" s="1"/>
  <c r="B100" i="1" l="1"/>
  <c r="F100" i="1"/>
  <c r="K100" i="1"/>
  <c r="I100" i="1"/>
  <c r="B9" i="1" a="1"/>
  <c r="B9" i="1" s="1"/>
  <c r="I8" i="1" a="1"/>
  <c r="I8" i="1" s="1"/>
  <c r="K8" i="1" a="1"/>
  <c r="K8" i="1" s="1"/>
  <c r="K9" i="1" a="1"/>
  <c r="K9" i="1" s="1"/>
  <c r="F9" i="1" a="1"/>
  <c r="F9" i="1" s="1"/>
  <c r="M8" i="1" a="1"/>
  <c r="M8" i="1" s="1"/>
  <c r="B8" i="1" a="1"/>
  <c r="B8" i="1" s="1"/>
  <c r="M9" i="1" a="1"/>
  <c r="M9" i="1" s="1"/>
  <c r="F8" i="1" a="1"/>
  <c r="F8" i="1" s="1"/>
  <c r="D8" i="1" a="1"/>
  <c r="D8" i="1" s="1"/>
  <c r="I9" i="1" a="1"/>
  <c r="I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<sst xmlns="http://schemas.openxmlformats.org/spreadsheetml/2006/main" count="91" uniqueCount="76">
  <si>
    <t>ASIAN PAINTS LIMITED</t>
  </si>
  <si>
    <t>Financial Performance Dashboard | FY2021 – FY2030E</t>
  </si>
  <si>
    <t>SELECT YEAR</t>
  </si>
  <si>
    <t>FY2030E</t>
  </si>
  <si>
    <t>vs</t>
  </si>
  <si>
    <t>COMPARE TO</t>
  </si>
  <si>
    <t>FY2025</t>
  </si>
  <si>
    <t>Selected_Idx</t>
  </si>
  <si>
    <t>Compare_Idx</t>
  </si>
  <si>
    <t>— HELPER DATA (powers KPI cards &amp; charts; do not edit) —</t>
  </si>
  <si>
    <t>Period</t>
  </si>
  <si>
    <t>FY2021</t>
  </si>
  <si>
    <t>FY2022</t>
  </si>
  <si>
    <t>FY2023</t>
  </si>
  <si>
    <t>FY2024</t>
  </si>
  <si>
    <t>FY2026E</t>
  </si>
  <si>
    <t>FY2027E</t>
  </si>
  <si>
    <t>FY2028E</t>
  </si>
  <si>
    <t>FY2029E</t>
  </si>
  <si>
    <t>Revenue</t>
  </si>
  <si>
    <t>Revenue Growth</t>
  </si>
  <si>
    <t>EBITDA</t>
  </si>
  <si>
    <t>EBITDA Margin</t>
  </si>
  <si>
    <t>EBIT</t>
  </si>
  <si>
    <t>EBIT Margin</t>
  </si>
  <si>
    <t>PAT</t>
  </si>
  <si>
    <t>PAT Margin</t>
  </si>
  <si>
    <t>Total Assets</t>
  </si>
  <si>
    <t>Total Equity</t>
  </si>
  <si>
    <t>Total Borrowings</t>
  </si>
  <si>
    <t>Cash &amp; Equivalents</t>
  </si>
  <si>
    <t>Net Debt</t>
  </si>
  <si>
    <t>Net Debt / Equity</t>
  </si>
  <si>
    <t>CFO</t>
  </si>
  <si>
    <t>Capex (abs)</t>
  </si>
  <si>
    <t>FCF</t>
  </si>
  <si>
    <t>Dividends (abs)</t>
  </si>
  <si>
    <t>ROE</t>
  </si>
  <si>
    <t>ROA</t>
  </si>
  <si>
    <t>ROCE</t>
  </si>
  <si>
    <t>Tax Rate</t>
  </si>
  <si>
    <t>CFO / Revenue</t>
  </si>
  <si>
    <t>EPS</t>
  </si>
  <si>
    <t>BVPS</t>
  </si>
  <si>
    <t>DPS</t>
  </si>
  <si>
    <t>Shares Outstanding</t>
  </si>
  <si>
    <t>REVENUE</t>
  </si>
  <si>
    <t>EBITDA MARGIN</t>
  </si>
  <si>
    <t>EPS (BASIC)</t>
  </si>
  <si>
    <t>REVENUE &amp; PROFITABILITY</t>
  </si>
  <si>
    <t>RETURNS &amp; EFFICIENCY</t>
  </si>
  <si>
    <t>CASH FLOW GENERATION</t>
  </si>
  <si>
    <t>BALANCE SHEET TRAJECTORY</t>
  </si>
  <si>
    <t>Source: Asian Paints Annual Reports FY21-FY25; FY26E-FY30E are forecasts. All figures in ₹ Crores unless noted.</t>
  </si>
  <si>
    <t>METRIC EXPLORER  •  PICK A METRIC, EXPLORE ITS HISTORY</t>
  </si>
  <si>
    <t>SELECT METRIC</t>
  </si>
  <si>
    <t>(use the dropdown arrow to switch metric)</t>
  </si>
  <si>
    <t>LATEST</t>
  </si>
  <si>
    <t>5Y CAGR (HIST)</t>
  </si>
  <si>
    <t>5Y CAGR (FWD)</t>
  </si>
  <si>
    <t>10Y PEAK</t>
  </si>
  <si>
    <t>10Y LOW</t>
  </si>
  <si>
    <t>PEAK YEAR</t>
  </si>
  <si>
    <t>→ selected metric data</t>
  </si>
  <si>
    <t>YoY GROWTH HEATMAP  •  YEAR-OVER-YEAR % CHANGE BY METRIC</t>
  </si>
  <si>
    <t>Metric</t>
  </si>
  <si>
    <t>FY22</t>
  </si>
  <si>
    <t>FY23</t>
  </si>
  <si>
    <t>FY24</t>
  </si>
  <si>
    <t>FY25</t>
  </si>
  <si>
    <t>FY26E</t>
  </si>
  <si>
    <t>FY27E</t>
  </si>
  <si>
    <t>FY28E</t>
  </si>
  <si>
    <t>FY29E</t>
  </si>
  <si>
    <t>FY30E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</si>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</sst>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"/>
    <numFmt numFmtId="165" formatCode="0.0%"/>
    <numFmt numFmtId="166" formatCode="\₹#,##0&quot; Cr&quot;"/>
    <numFmt numFmtId="167" formatCode="\₹#,##0.00"/>
  </numFmts>
  <fonts count="38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FFFFFF"/>
      <name val="Aptos"/>
      <family val="2"/>
    </font>
    <font>
      <b/>
      <sz val="22"/>
      <color rgb="FFFFFFFF"/>
      <name val="Aptos"/>
      <family val="2"/>
    </font>
    <font>
      <sz val="11"/>
      <color rgb="FF94A3B8"/>
      <name val="Aptos"/>
      <family val="2"/>
    </font>
    <font>
      <b/>
      <sz val="12"/>
      <color rgb="FF64748B"/>
      <name val="Aptos"/>
      <family val="2"/>
    </font>
    <font>
      <b/>
      <sz val="9"/>
      <color rgb="FF64748B"/>
      <name val="Aptos"/>
      <family val="2"/>
    </font>
    <font>
      <b/>
      <sz val="13"/>
      <color rgb="FF1E40AF"/>
      <name val="Aptos"/>
      <family val="2"/>
    </font>
    <font>
      <i/>
      <sz val="9"/>
      <color rgb="FF94A3B8"/>
      <name val="Aptos"/>
      <family val="2"/>
    </font>
    <font>
      <sz val="12"/>
      <color rgb="FF1F2937"/>
      <name val="Aptos"/>
      <family val="2"/>
    </font>
    <font>
      <b/>
      <sz val="20"/>
      <color rgb="FF0F172A"/>
      <name val="Aptos"/>
      <family val="2"/>
    </font>
    <font>
      <b/>
      <sz val="11"/>
      <color rgb="FFFFFFFF"/>
      <name val="Aptos"/>
      <family val="2"/>
    </font>
    <font>
      <i/>
      <sz val="8"/>
      <color rgb="FF94A3B8"/>
      <name val="Aptos"/>
      <family val="2"/>
    </font>
    <font>
      <i/>
      <sz val="11"/>
      <color rgb="FF94A3B8"/>
      <name val="Aptos"/>
      <family val="2"/>
    </font>
    <font>
      <b/>
      <sz val="12"/>
      <color rgb="FF3B82F6"/>
      <name val="Aptos"/>
      <family val="2"/>
    </font>
    <font>
      <b/>
      <sz val="22"/>
      <color rgb="FF0F172A"/>
      <name val="Aptos"/>
      <family val="2"/>
    </font>
    <font>
      <b/>
      <sz val="12"/>
      <color rgb="FF10B981"/>
      <name val="Aptos"/>
      <family val="2"/>
    </font>
    <font>
      <b/>
      <sz val="12"/>
      <color rgb="FF14B8A6"/>
      <name val="Aptos"/>
      <family val="2"/>
    </font>
    <font>
      <b/>
      <sz val="12"/>
      <color rgb="FFF59E0B"/>
      <name val="Aptos"/>
      <family val="2"/>
    </font>
    <font>
      <b/>
      <sz val="12"/>
      <color rgb="FFEF4444"/>
      <name val="Aptos"/>
      <family val="2"/>
    </font>
    <font>
      <b/>
      <sz val="12"/>
      <color rgb="FF8B5CF6"/>
      <name val="Aptos"/>
      <family val="2"/>
    </font>
    <font>
      <b/>
      <sz val="8"/>
      <color rgb="FF8B5CF6"/>
      <name val="Aptos"/>
      <family val="2"/>
    </font>
    <font>
      <b/>
      <sz val="12"/>
      <color rgb="FF1F2937"/>
      <name val="Aptos"/>
      <family val="2"/>
    </font>
    <font>
      <sz val="10"/>
      <color theme="1"/>
      <name val="Aptos"/>
      <family val="2"/>
    </font>
    <font>
      <b/>
      <sz val="26"/>
      <color rgb="FF0F172A"/>
      <name val="Aptos"/>
      <family val="2"/>
    </font>
    <font>
      <sz val="26"/>
      <color theme="1"/>
      <name val="Aptos"/>
      <family val="2"/>
    </font>
    <font>
      <i/>
      <sz val="12"/>
      <name val="Aptos"/>
      <family val="2"/>
    </font>
    <font>
      <sz val="10"/>
      <color rgb="FF64748B"/>
      <name val="Aptos"/>
      <family val="2"/>
    </font>
    <font>
      <b/>
      <sz val="13"/>
      <color rgb="FF002060"/>
      <name val="Aptos"/>
      <family val="2"/>
    </font>
    <font>
      <i/>
      <sz val="9"/>
      <name val="Aptos"/>
      <family val="2"/>
    </font>
    <font>
      <i/>
      <sz val="10"/>
      <color rgb="FF64748B"/>
      <name val="Aptos"/>
      <family val="2"/>
    </font>
    <font>
      <i/>
      <sz val="10"/>
      <color theme="1"/>
      <name val="Aptos"/>
      <family val="2"/>
    </font>
    <font>
      <b/>
      <sz val="14"/>
      <color rgb="FF475569"/>
      <name val="Aptos"/>
      <family val="2"/>
    </font>
    <font>
      <i/>
      <sz val="12"/>
      <color theme="1" tint="0.34998626667073579"/>
      <name val="Aptos"/>
      <family val="2"/>
    </font>
    <font>
      <i/>
      <sz val="8"/>
      <color theme="1" tint="0.34998626667073579"/>
      <name val="Aptos"/>
      <family val="2"/>
    </font>
    <font>
      <i/>
      <sz val="9"/>
      <color theme="1" tint="0.34998626667073579"/>
      <name val="Aptos"/>
      <family val="2"/>
    </font>
    <font>
      <i/>
      <sz val="10"/>
      <color theme="1" tint="0.34998626667073579"/>
      <name val="Aptos"/>
      <family val="2"/>
    </font>
    <font>
      <sz val="1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14B8A6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1E293B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rgb="FFFCD34D"/>
      </top>
      <bottom style="thin">
        <color rgb="FFFCD34D"/>
      </bottom>
      <diagonal/>
    </border>
    <border>
      <left style="thin">
        <color rgb="FFFCD34D"/>
      </left>
      <right/>
      <top style="thin">
        <color rgb="FFFCD34D"/>
      </top>
      <bottom style="thin">
        <color rgb="FFFCD34D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FCD34D"/>
      </right>
      <top style="thin">
        <color rgb="FFFCD34D"/>
      </top>
      <bottom style="thin">
        <color rgb="FFFCD34D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medium">
        <color rgb="FF0F172A"/>
      </bottom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 style="medium">
        <color rgb="FF0F172A"/>
      </top>
      <bottom/>
      <diagonal/>
    </border>
    <border>
      <left style="thin">
        <color rgb="FFE2E8F0"/>
      </left>
      <right/>
      <top style="medium">
        <color rgb="FF0F172A"/>
      </top>
      <bottom/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 style="thin">
        <color rgb="FFCBD5E1"/>
      </bottom>
      <diagonal/>
    </border>
    <border>
      <left style="thin">
        <color rgb="FFE2E8F0"/>
      </left>
      <right style="thin">
        <color rgb="FFCBD5E1"/>
      </right>
      <top style="medium">
        <color rgb="FF0F172A"/>
      </top>
      <bottom/>
      <diagonal/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CBD5E1"/>
      </right>
      <top style="thin">
        <color rgb="FFE2E8F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left" indent="2"/>
    </xf>
    <xf numFmtId="0" fontId="6" fillId="2" borderId="0" xfId="0" applyFont="1" applyFill="1" applyAlignment="1">
      <alignment horizontal="right" vertical="center"/>
    </xf>
    <xf numFmtId="0" fontId="8" fillId="5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Continuous" vertical="center"/>
    </xf>
    <xf numFmtId="0" fontId="10" fillId="7" borderId="11" xfId="0" applyFont="1" applyFill="1" applyBorder="1" applyAlignment="1">
      <alignment horizontal="centerContinuous" vertical="center"/>
    </xf>
    <xf numFmtId="0" fontId="11" fillId="3" borderId="0" xfId="0" applyFont="1" applyFill="1" applyAlignment="1">
      <alignment horizontal="left" vertical="center" indent="2"/>
    </xf>
    <xf numFmtId="0" fontId="12" fillId="2" borderId="0" xfId="0" applyFont="1" applyFill="1" applyAlignment="1">
      <alignment horizontal="left" vertical="center" indent="2"/>
    </xf>
    <xf numFmtId="0" fontId="0" fillId="3" borderId="0" xfId="0" applyFont="1" applyFill="1"/>
    <xf numFmtId="0" fontId="0" fillId="0" borderId="0" xfId="0" applyFont="1"/>
    <xf numFmtId="0" fontId="0" fillId="2" borderId="0" xfId="0" applyFont="1" applyFill="1"/>
    <xf numFmtId="0" fontId="0" fillId="6" borderId="7" xfId="0" applyFont="1" applyFill="1" applyBorder="1"/>
    <xf numFmtId="0" fontId="0" fillId="6" borderId="4" xfId="0" applyFont="1" applyFill="1" applyBorder="1"/>
    <xf numFmtId="0" fontId="0" fillId="8" borderId="7" xfId="0" applyFont="1" applyFill="1" applyBorder="1"/>
    <xf numFmtId="0" fontId="0" fillId="8" borderId="4" xfId="0" applyFont="1" applyFill="1" applyBorder="1"/>
    <xf numFmtId="0" fontId="0" fillId="9" borderId="7" xfId="0" applyFont="1" applyFill="1" applyBorder="1"/>
    <xf numFmtId="0" fontId="0" fillId="9" borderId="10" xfId="0" applyFont="1" applyFill="1" applyBorder="1"/>
    <xf numFmtId="0" fontId="0" fillId="10" borderId="7" xfId="0" applyFont="1" applyFill="1" applyBorder="1"/>
    <xf numFmtId="0" fontId="0" fillId="10" borderId="4" xfId="0" applyFont="1" applyFill="1" applyBorder="1"/>
    <xf numFmtId="0" fontId="0" fillId="11" borderId="7" xfId="0" applyFont="1" applyFill="1" applyBorder="1"/>
    <xf numFmtId="0" fontId="0" fillId="11" borderId="4" xfId="0" applyFont="1" applyFill="1" applyBorder="1"/>
    <xf numFmtId="0" fontId="0" fillId="12" borderId="7" xfId="0" applyFont="1" applyFill="1" applyBorder="1"/>
    <xf numFmtId="0" fontId="0" fillId="12" borderId="10" xfId="0" applyFont="1" applyFill="1" applyBorder="1"/>
    <xf numFmtId="0" fontId="3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  <xf numFmtId="0" fontId="7" fillId="4" borderId="13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Continuous" vertical="center"/>
    </xf>
    <xf numFmtId="0" fontId="21" fillId="7" borderId="10" xfId="0" applyFont="1" applyFill="1" applyBorder="1" applyAlignment="1">
      <alignment horizontal="centerContinuous" vertical="center"/>
    </xf>
    <xf numFmtId="0" fontId="15" fillId="7" borderId="9" xfId="0" applyNumberFormat="1" applyFont="1" applyFill="1" applyBorder="1" applyAlignment="1">
      <alignment horizontal="centerContinuous" vertical="center"/>
    </xf>
    <xf numFmtId="165" fontId="0" fillId="2" borderId="0" xfId="0" applyNumberFormat="1" applyFont="1" applyFill="1" applyBorder="1"/>
    <xf numFmtId="165" fontId="0" fillId="2" borderId="15" xfId="0" applyNumberFormat="1" applyFont="1" applyFill="1" applyBorder="1"/>
    <xf numFmtId="0" fontId="0" fillId="2" borderId="21" xfId="0" applyFont="1" applyFill="1" applyBorder="1"/>
    <xf numFmtId="0" fontId="23" fillId="2" borderId="0" xfId="0" applyFont="1" applyFill="1"/>
    <xf numFmtId="166" fontId="24" fillId="7" borderId="8" xfId="0" applyNumberFormat="1" applyFont="1" applyFill="1" applyBorder="1" applyAlignment="1">
      <alignment horizontal="centerContinuous" vertical="center"/>
    </xf>
    <xf numFmtId="0" fontId="24" fillId="7" borderId="0" xfId="0" applyFont="1" applyFill="1" applyBorder="1" applyAlignment="1">
      <alignment horizontal="centerContinuous" vertical="center"/>
    </xf>
    <xf numFmtId="165" fontId="24" fillId="7" borderId="8" xfId="0" applyNumberFormat="1" applyFont="1" applyFill="1" applyBorder="1" applyAlignment="1">
      <alignment horizontal="centerContinuous" vertical="center"/>
    </xf>
    <xf numFmtId="0" fontId="24" fillId="7" borderId="11" xfId="0" applyFont="1" applyFill="1" applyBorder="1" applyAlignment="1">
      <alignment horizontal="centerContinuous" vertical="center"/>
    </xf>
    <xf numFmtId="0" fontId="25" fillId="2" borderId="0" xfId="0" applyFont="1" applyFill="1"/>
    <xf numFmtId="167" fontId="24" fillId="7" borderId="8" xfId="0" applyNumberFormat="1" applyFont="1" applyFill="1" applyBorder="1" applyAlignment="1">
      <alignment horizontal="centerContinuous" vertical="center"/>
    </xf>
    <xf numFmtId="0" fontId="26" fillId="2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Continuous" vertical="center"/>
    </xf>
    <xf numFmtId="0" fontId="5" fillId="7" borderId="0" xfId="0" applyFont="1" applyFill="1" applyBorder="1" applyAlignment="1">
      <alignment horizontal="centerContinuous" vertical="center"/>
    </xf>
    <xf numFmtId="0" fontId="5" fillId="7" borderId="11" xfId="0" applyFont="1" applyFill="1" applyBorder="1" applyAlignment="1">
      <alignment horizontal="centerContinuous" vertical="center"/>
    </xf>
    <xf numFmtId="0" fontId="27" fillId="7" borderId="12" xfId="0" applyFont="1" applyFill="1" applyBorder="1" applyAlignment="1">
      <alignment horizontal="centerContinuous" vertical="center"/>
    </xf>
    <xf numFmtId="0" fontId="2" fillId="3" borderId="0" xfId="0" applyFont="1" applyFill="1" applyAlignment="1">
      <alignment horizontal="left" vertical="center" indent="2"/>
    </xf>
    <xf numFmtId="4" fontId="24" fillId="7" borderId="9" xfId="0" applyNumberFormat="1" applyFont="1" applyFill="1" applyBorder="1" applyAlignment="1">
      <alignment horizontal="centerContinuous" vertical="center"/>
    </xf>
    <xf numFmtId="0" fontId="24" fillId="7" borderId="5" xfId="0" applyFont="1" applyFill="1" applyBorder="1" applyAlignment="1">
      <alignment horizontal="centerContinuous" vertical="center"/>
    </xf>
    <xf numFmtId="165" fontId="24" fillId="7" borderId="9" xfId="0" applyNumberFormat="1" applyFont="1" applyFill="1" applyBorder="1" applyAlignment="1">
      <alignment horizontal="centerContinuous" vertical="center"/>
    </xf>
    <xf numFmtId="0" fontId="24" fillId="7" borderId="12" xfId="0" applyFont="1" applyFill="1" applyBorder="1" applyAlignment="1">
      <alignment horizontal="centerContinuous" vertical="center"/>
    </xf>
    <xf numFmtId="0" fontId="24" fillId="7" borderId="9" xfId="0" applyNumberFormat="1" applyFont="1" applyFill="1" applyBorder="1" applyAlignment="1">
      <alignment horizontal="centerContinuous" vertical="center"/>
    </xf>
    <xf numFmtId="0" fontId="14" fillId="7" borderId="7" xfId="0" applyFont="1" applyFill="1" applyBorder="1" applyAlignment="1">
      <alignment horizontal="centerContinuous" vertical="center"/>
    </xf>
    <xf numFmtId="0" fontId="14" fillId="7" borderId="4" xfId="0" applyFont="1" applyFill="1" applyBorder="1" applyAlignment="1">
      <alignment horizontal="centerContinuous" vertical="center"/>
    </xf>
    <xf numFmtId="0" fontId="16" fillId="7" borderId="7" xfId="0" applyFont="1" applyFill="1" applyBorder="1" applyAlignment="1">
      <alignment horizontal="centerContinuous" vertical="center"/>
    </xf>
    <xf numFmtId="0" fontId="16" fillId="7" borderId="4" xfId="0" applyFont="1" applyFill="1" applyBorder="1" applyAlignment="1">
      <alignment horizontal="centerContinuous" vertical="center"/>
    </xf>
    <xf numFmtId="0" fontId="17" fillId="7" borderId="7" xfId="0" applyFont="1" applyFill="1" applyBorder="1" applyAlignment="1">
      <alignment horizontal="centerContinuous" vertical="center"/>
    </xf>
    <xf numFmtId="0" fontId="17" fillId="7" borderId="10" xfId="0" applyFont="1" applyFill="1" applyBorder="1" applyAlignment="1">
      <alignment horizontal="centerContinuous" vertical="center"/>
    </xf>
    <xf numFmtId="0" fontId="18" fillId="7" borderId="7" xfId="0" applyFont="1" applyFill="1" applyBorder="1" applyAlignment="1">
      <alignment horizontal="centerContinuous" vertical="center"/>
    </xf>
    <xf numFmtId="0" fontId="18" fillId="7" borderId="4" xfId="0" applyFont="1" applyFill="1" applyBorder="1" applyAlignment="1">
      <alignment horizontal="centerContinuous" vertical="center"/>
    </xf>
    <xf numFmtId="0" fontId="19" fillId="7" borderId="7" xfId="0" applyFont="1" applyFill="1" applyBorder="1" applyAlignment="1">
      <alignment horizontal="centerContinuous" vertical="center"/>
    </xf>
    <xf numFmtId="0" fontId="19" fillId="7" borderId="4" xfId="0" applyFont="1" applyFill="1" applyBorder="1" applyAlignment="1">
      <alignment horizontal="centerContinuous" vertical="center"/>
    </xf>
    <xf numFmtId="0" fontId="20" fillId="7" borderId="7" xfId="0" applyFont="1" applyFill="1" applyBorder="1" applyAlignment="1">
      <alignment horizontal="centerContinuous" vertical="center"/>
    </xf>
    <xf numFmtId="0" fontId="2" fillId="13" borderId="20" xfId="0" applyFont="1" applyFill="1" applyBorder="1" applyAlignment="1">
      <alignment horizontal="left" vertical="center" indent="1"/>
    </xf>
    <xf numFmtId="0" fontId="2" fillId="13" borderId="14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left" indent="1"/>
    </xf>
    <xf numFmtId="165" fontId="1" fillId="2" borderId="22" xfId="0" applyNumberFormat="1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5" fontId="1" fillId="2" borderId="29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left" indent="1"/>
    </xf>
    <xf numFmtId="165" fontId="1" fillId="2" borderId="24" xfId="0" applyNumberFormat="1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5" xfId="0" applyNumberFormat="1" applyFont="1" applyFill="1" applyBorder="1" applyAlignment="1">
      <alignment horizontal="center" vertical="center"/>
    </xf>
    <xf numFmtId="165" fontId="1" fillId="2" borderId="15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left" vertical="center" indent="1"/>
    </xf>
    <xf numFmtId="0" fontId="30" fillId="7" borderId="9" xfId="0" applyFont="1" applyFill="1" applyBorder="1" applyAlignment="1">
      <alignment horizontal="centerContinuous" vertical="center"/>
    </xf>
    <xf numFmtId="0" fontId="30" fillId="7" borderId="5" xfId="0" applyFont="1" applyFill="1" applyBorder="1" applyAlignment="1">
      <alignment horizontal="centerContinuous" vertical="center"/>
    </xf>
    <xf numFmtId="0" fontId="30" fillId="7" borderId="12" xfId="0" applyFont="1" applyFill="1" applyBorder="1" applyAlignment="1">
      <alignment horizontal="centerContinuous" vertical="center"/>
    </xf>
    <xf numFmtId="0" fontId="31" fillId="2" borderId="0" xfId="0" applyFont="1" applyFill="1"/>
    <xf numFmtId="0" fontId="13" fillId="3" borderId="0" xfId="0" applyFont="1" applyFill="1" applyAlignment="1">
      <alignment vertical="center"/>
    </xf>
    <xf numFmtId="0" fontId="33" fillId="2" borderId="0" xfId="0" applyFont="1" applyFill="1" applyAlignment="1">
      <alignment horizontal="right" vertical="center"/>
    </xf>
    <xf numFmtId="4" fontId="33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35" fillId="0" borderId="0" xfId="0" applyFont="1"/>
    <xf numFmtId="1" fontId="35" fillId="0" borderId="0" xfId="0" applyNumberFormat="1" applyFont="1"/>
    <xf numFmtId="0" fontId="36" fillId="5" borderId="0" xfId="0" applyFont="1" applyFill="1"/>
    <xf numFmtId="0" fontId="35" fillId="5" borderId="0" xfId="0" applyFont="1" applyFill="1"/>
    <xf numFmtId="0" fontId="32" fillId="5" borderId="0" xfId="0" applyFont="1" applyFill="1" applyAlignment="1">
      <alignment vertical="center"/>
    </xf>
    <xf numFmtId="0" fontId="32" fillId="5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37" fillId="0" borderId="30" xfId="0" applyFont="1" applyBorder="1"/>
    <xf numFmtId="164" fontId="9" fillId="0" borderId="30" xfId="0" applyNumberFormat="1" applyFont="1" applyBorder="1"/>
    <xf numFmtId="165" fontId="9" fillId="0" borderId="30" xfId="0" applyNumberFormat="1" applyFont="1" applyBorder="1"/>
    <xf numFmtId="3" fontId="9" fillId="0" borderId="30" xfId="0" applyNumberFormat="1" applyFont="1" applyBorder="1"/>
    <xf numFmtId="4" fontId="9" fillId="0" borderId="30" xfId="0" applyNumberFormat="1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B8C93F-1BA1-494A-A8B2-6C1BD47A06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Revenue &amp; PAT Trajectory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Dashboard!$C$146:$L$146</c:f>
              <c:numCache>
                <c:formatCode>#,##0.0</c:formatCode>
                <c:ptCount val="10"/>
                <c:pt idx="0">
                  <c:v>22015.84</c:v>
                </c:pt>
                <c:pt idx="1">
                  <c:v>29481.29</c:v>
                </c:pt>
                <c:pt idx="2">
                  <c:v>34875.07</c:v>
                </c:pt>
                <c:pt idx="3">
                  <c:v>36182.69</c:v>
                </c:pt>
                <c:pt idx="4">
                  <c:v>34478.230000000003</c:v>
                </c:pt>
                <c:pt idx="5">
                  <c:v>36539.96</c:v>
                </c:pt>
                <c:pt idx="6">
                  <c:v>39465.15</c:v>
                </c:pt>
                <c:pt idx="7">
                  <c:v>42620.37</c:v>
                </c:pt>
                <c:pt idx="8">
                  <c:v>46024</c:v>
                </c:pt>
                <c:pt idx="9">
                  <c:v>49243.18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1-4481-BF56-CC0679A9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100143"/>
        <c:axId val="684100623"/>
      </c:barChart>
      <c:lineChart>
        <c:grouping val="standard"/>
        <c:varyColors val="0"/>
        <c:ser>
          <c:idx val="1"/>
          <c:order val="1"/>
          <c:tx>
            <c:v>PAT</c:v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B5CF6"/>
              </a:solidFill>
              <a:ln w="9525">
                <a:solidFill>
                  <a:srgbClr val="8B5CF6"/>
                </a:solidFill>
                <a:prstDash val="solid"/>
              </a:ln>
              <a:effectLst/>
            </c:spPr>
          </c:marker>
          <c:val>
            <c:numRef>
              <c:f>Dashboard!$C$152:$L$152</c:f>
              <c:numCache>
                <c:formatCode>#,##0.0</c:formatCode>
                <c:ptCount val="10"/>
                <c:pt idx="0">
                  <c:v>3206.75</c:v>
                </c:pt>
                <c:pt idx="1">
                  <c:v>3084.81</c:v>
                </c:pt>
                <c:pt idx="2">
                  <c:v>4195.33</c:v>
                </c:pt>
                <c:pt idx="3">
                  <c:v>5557.69</c:v>
                </c:pt>
                <c:pt idx="4">
                  <c:v>3709.71</c:v>
                </c:pt>
                <c:pt idx="5">
                  <c:v>4214.43</c:v>
                </c:pt>
                <c:pt idx="6">
                  <c:v>4549.79</c:v>
                </c:pt>
                <c:pt idx="7">
                  <c:v>4908.8500000000004</c:v>
                </c:pt>
                <c:pt idx="8">
                  <c:v>5293.5</c:v>
                </c:pt>
                <c:pt idx="9">
                  <c:v>5649.33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1-4481-BF56-CC0679A9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050703"/>
        <c:axId val="684055503"/>
      </c:lineChart>
      <c:catAx>
        <c:axId val="68410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100623"/>
        <c:crosses val="autoZero"/>
        <c:auto val="1"/>
        <c:lblAlgn val="ctr"/>
        <c:lblOffset val="100"/>
        <c:noMultiLvlLbl val="0"/>
      </c:catAx>
      <c:valAx>
        <c:axId val="68410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Revenue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100143"/>
        <c:crosses val="autoZero"/>
        <c:crossBetween val="between"/>
      </c:valAx>
      <c:valAx>
        <c:axId val="6840555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PAT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50703"/>
        <c:crosses val="max"/>
        <c:crossBetween val="between"/>
      </c:valAx>
      <c:catAx>
        <c:axId val="684050703"/>
        <c:scaling>
          <c:orientation val="minMax"/>
        </c:scaling>
        <c:delete val="1"/>
        <c:axPos val="b"/>
        <c:majorTickMark val="out"/>
        <c:minorTickMark val="none"/>
        <c:tickLblPos val="nextTo"/>
        <c:crossAx val="6840555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EBITDA &amp; 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</c:v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Dashboard!$C$148:$L$148</c:f>
              <c:numCache>
                <c:formatCode>#,##0.0</c:formatCode>
                <c:ptCount val="10"/>
                <c:pt idx="0">
                  <c:v>5158.6499999999996</c:v>
                </c:pt>
                <c:pt idx="1">
                  <c:v>5183.62</c:v>
                </c:pt>
                <c:pt idx="2">
                  <c:v>6646.32</c:v>
                </c:pt>
                <c:pt idx="3">
                  <c:v>8272.94</c:v>
                </c:pt>
                <c:pt idx="4">
                  <c:v>6578.82</c:v>
                </c:pt>
                <c:pt idx="5">
                  <c:v>6889.49</c:v>
                </c:pt>
                <c:pt idx="6">
                  <c:v>7442.65</c:v>
                </c:pt>
                <c:pt idx="7">
                  <c:v>8036.06</c:v>
                </c:pt>
                <c:pt idx="8">
                  <c:v>8672.9500000000007</c:v>
                </c:pt>
                <c:pt idx="9">
                  <c:v>9277.56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4-4453-BFF0-2EB25303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051663"/>
        <c:axId val="684061263"/>
      </c:barChart>
      <c:lineChart>
        <c:grouping val="standard"/>
        <c:varyColors val="0"/>
        <c:ser>
          <c:idx val="1"/>
          <c:order val="1"/>
          <c:tx>
            <c:v>EBITDA Margin</c:v>
          </c:tx>
          <c:spPr>
            <a:ln w="28575" cap="rnd">
              <a:solidFill>
                <a:srgbClr val="0F766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766E"/>
              </a:solidFill>
              <a:ln w="9525">
                <a:solidFill>
                  <a:srgbClr val="0F766E"/>
                </a:solidFill>
                <a:prstDash val="solid"/>
              </a:ln>
              <a:effectLst/>
            </c:spPr>
          </c:marker>
          <c:val>
            <c:numRef>
              <c:f>Dashboard!$C$149:$L$149</c:f>
              <c:numCache>
                <c:formatCode>0.0%</c:formatCode>
                <c:ptCount val="10"/>
                <c:pt idx="0">
                  <c:v>0.23431538383273132</c:v>
                </c:pt>
                <c:pt idx="1">
                  <c:v>0.17582744852752372</c:v>
                </c:pt>
                <c:pt idx="2">
                  <c:v>0.19057510135463526</c:v>
                </c:pt>
                <c:pt idx="3">
                  <c:v>0.22864358620102596</c:v>
                </c:pt>
                <c:pt idx="4">
                  <c:v>0.19081083918751046</c:v>
                </c:pt>
                <c:pt idx="5">
                  <c:v>0.18854673075723127</c:v>
                </c:pt>
                <c:pt idx="6">
                  <c:v>0.18858790603861886</c:v>
                </c:pt>
                <c:pt idx="7">
                  <c:v>0.18854974745643927</c:v>
                </c:pt>
                <c:pt idx="8">
                  <c:v>0.18844407265774379</c:v>
                </c:pt>
                <c:pt idx="9">
                  <c:v>0.18840294229576562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84-4453-BFF0-2EB25303B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066543"/>
        <c:axId val="684065103"/>
      </c:lineChart>
      <c:catAx>
        <c:axId val="68405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61263"/>
        <c:crosses val="autoZero"/>
        <c:auto val="1"/>
        <c:lblAlgn val="ctr"/>
        <c:lblOffset val="100"/>
        <c:noMultiLvlLbl val="0"/>
      </c:catAx>
      <c:valAx>
        <c:axId val="68406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EBITDA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51663"/>
        <c:crosses val="autoZero"/>
        <c:crossBetween val="between"/>
      </c:valAx>
      <c:valAx>
        <c:axId val="6840651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EBITDA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66543"/>
        <c:crosses val="max"/>
        <c:crossBetween val="between"/>
      </c:valAx>
      <c:catAx>
        <c:axId val="684066543"/>
        <c:scaling>
          <c:orientation val="minMax"/>
        </c:scaling>
        <c:delete val="1"/>
        <c:axPos val="b"/>
        <c:majorTickMark val="out"/>
        <c:minorTickMark val="none"/>
        <c:tickLblPos val="nextTo"/>
        <c:crossAx val="6840651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Returns Profile (ROE / ROA / ROCE)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ROE</c:v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59E0B"/>
              </a:solidFill>
              <a:ln w="9525">
                <a:solidFill>
                  <a:srgbClr val="F59E0B"/>
                </a:solidFill>
                <a:prstDash val="solid"/>
              </a:ln>
              <a:effectLst/>
            </c:spPr>
          </c:marker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Dashboard!$C$164:$L$164</c:f>
              <c:numCache>
                <c:formatCode>0.0%</c:formatCode>
                <c:ptCount val="10"/>
                <c:pt idx="0">
                  <c:v>0.24</c:v>
                </c:pt>
                <c:pt idx="1">
                  <c:v>0.22</c:v>
                </c:pt>
                <c:pt idx="2">
                  <c:v>0.26</c:v>
                </c:pt>
                <c:pt idx="3">
                  <c:v>0.28999999999999998</c:v>
                </c:pt>
                <c:pt idx="4">
                  <c:v>0.18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0.21</c:v>
                </c:pt>
                <c:pt idx="9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7-44E7-B7F3-F2F6D88F1C9B}"/>
            </c:ext>
          </c:extLst>
        </c:ser>
        <c:ser>
          <c:idx val="1"/>
          <c:order val="1"/>
          <c:tx>
            <c:v>ROCE</c:v>
          </c:tx>
          <c:spPr>
            <a:ln w="28575" cap="rnd">
              <a:solidFill>
                <a:srgbClr val="06B6D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6B6D4"/>
              </a:solidFill>
              <a:ln w="9525">
                <a:solidFill>
                  <a:srgbClr val="06B6D4"/>
                </a:solidFill>
                <a:prstDash val="solid"/>
              </a:ln>
              <a:effectLst/>
            </c:spPr>
          </c:marker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Dashboard!$C$166:$L$166</c:f>
              <c:numCache>
                <c:formatCode>0.0%</c:formatCode>
                <c:ptCount val="10"/>
                <c:pt idx="0">
                  <c:v>0.32</c:v>
                </c:pt>
                <c:pt idx="1">
                  <c:v>0.28999999999999998</c:v>
                </c:pt>
                <c:pt idx="2">
                  <c:v>0.33</c:v>
                </c:pt>
                <c:pt idx="3">
                  <c:v>0.36</c:v>
                </c:pt>
                <c:pt idx="4">
                  <c:v>0.27</c:v>
                </c:pt>
                <c:pt idx="5">
                  <c:v>0.26</c:v>
                </c:pt>
                <c:pt idx="6">
                  <c:v>0.27</c:v>
                </c:pt>
                <c:pt idx="7">
                  <c:v>0.27</c:v>
                </c:pt>
                <c:pt idx="8">
                  <c:v>0.27</c:v>
                </c:pt>
                <c:pt idx="9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7-44E7-B7F3-F2F6D88F1C9B}"/>
            </c:ext>
          </c:extLst>
        </c:ser>
        <c:ser>
          <c:idx val="2"/>
          <c:order val="2"/>
          <c:tx>
            <c:v>ROA</c:v>
          </c:tx>
          <c:spPr>
            <a:ln w="28575" cap="rnd">
              <a:solidFill>
                <a:srgbClr val="0EA5E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EA5E9"/>
              </a:solidFill>
              <a:ln w="9525">
                <a:solidFill>
                  <a:srgbClr val="0EA5E9"/>
                </a:solidFill>
                <a:prstDash val="solid"/>
              </a:ln>
              <a:effectLst/>
            </c:spPr>
          </c:marker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Dashboard!$C$165:$L$165</c:f>
              <c:numCache>
                <c:formatCode>0.0%</c:formatCode>
                <c:ptCount val="10"/>
                <c:pt idx="0">
                  <c:v>0.16</c:v>
                </c:pt>
                <c:pt idx="1">
                  <c:v>0.13</c:v>
                </c:pt>
                <c:pt idx="2">
                  <c:v>0.16</c:v>
                </c:pt>
                <c:pt idx="3">
                  <c:v>0.19</c:v>
                </c:pt>
                <c:pt idx="4">
                  <c:v>0.12</c:v>
                </c:pt>
                <c:pt idx="5">
                  <c:v>0.13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57-44E7-B7F3-F2F6D88F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25743"/>
        <c:axId val="107609423"/>
      </c:lineChart>
      <c:catAx>
        <c:axId val="1076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609423"/>
        <c:crosses val="autoZero"/>
        <c:auto val="1"/>
        <c:lblAlgn val="ctr"/>
        <c:lblOffset val="100"/>
        <c:noMultiLvlLbl val="0"/>
      </c:catAx>
      <c:valAx>
        <c:axId val="10760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62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PAT &amp; PAT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</c:v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Dashboard!$C$152:$L$152</c:f>
              <c:numCache>
                <c:formatCode>#,##0.0</c:formatCode>
                <c:ptCount val="10"/>
                <c:pt idx="0">
                  <c:v>3206.75</c:v>
                </c:pt>
                <c:pt idx="1">
                  <c:v>3084.81</c:v>
                </c:pt>
                <c:pt idx="2">
                  <c:v>4195.33</c:v>
                </c:pt>
                <c:pt idx="3">
                  <c:v>5557.69</c:v>
                </c:pt>
                <c:pt idx="4">
                  <c:v>3709.71</c:v>
                </c:pt>
                <c:pt idx="5">
                  <c:v>4214.43</c:v>
                </c:pt>
                <c:pt idx="6">
                  <c:v>4549.79</c:v>
                </c:pt>
                <c:pt idx="7">
                  <c:v>4908.8500000000004</c:v>
                </c:pt>
                <c:pt idx="8">
                  <c:v>5293.5</c:v>
                </c:pt>
                <c:pt idx="9">
                  <c:v>5649.33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B-4ABE-8E96-1EE840F9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700607"/>
        <c:axId val="809706367"/>
      </c:barChart>
      <c:lineChart>
        <c:grouping val="standard"/>
        <c:varyColors val="0"/>
        <c:ser>
          <c:idx val="1"/>
          <c:order val="1"/>
          <c:tx>
            <c:v>PAT Margin</c:v>
          </c:tx>
          <c:spPr>
            <a:ln w="28575" cap="rnd">
              <a:solidFill>
                <a:srgbClr val="5B21B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B21B6"/>
              </a:solidFill>
              <a:ln w="9525">
                <a:solidFill>
                  <a:srgbClr val="5B21B6"/>
                </a:solidFill>
                <a:prstDash val="solid"/>
              </a:ln>
              <a:effectLst/>
            </c:spPr>
          </c:marker>
          <c:val>
            <c:numRef>
              <c:f>Dashboard!$C$153:$L$153</c:f>
              <c:numCache>
                <c:formatCode>0.0%</c:formatCode>
                <c:ptCount val="10"/>
                <c:pt idx="0">
                  <c:v>0.14565649096287037</c:v>
                </c:pt>
                <c:pt idx="1">
                  <c:v>0.1046361946848323</c:v>
                </c:pt>
                <c:pt idx="2">
                  <c:v>0.12029595926259072</c:v>
                </c:pt>
                <c:pt idx="3">
                  <c:v>0.15360079640292082</c:v>
                </c:pt>
                <c:pt idx="4">
                  <c:v>0.1075957205459793</c:v>
                </c:pt>
                <c:pt idx="5">
                  <c:v>0.1153375646826105</c:v>
                </c:pt>
                <c:pt idx="6">
                  <c:v>0.11528627155857762</c:v>
                </c:pt>
                <c:pt idx="7">
                  <c:v>0.11517614699262348</c:v>
                </c:pt>
                <c:pt idx="8">
                  <c:v>0.11501607856770381</c:v>
                </c:pt>
                <c:pt idx="9">
                  <c:v>0.11472309464985811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B-4ABE-8E96-1EE840F9B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9702527"/>
        <c:axId val="809695327"/>
      </c:lineChart>
      <c:catAx>
        <c:axId val="80970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06367"/>
        <c:crosses val="autoZero"/>
        <c:auto val="1"/>
        <c:lblAlgn val="ctr"/>
        <c:lblOffset val="100"/>
        <c:noMultiLvlLbl val="0"/>
      </c:catAx>
      <c:valAx>
        <c:axId val="8097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PAT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00607"/>
        <c:crosses val="autoZero"/>
        <c:crossBetween val="between"/>
      </c:valAx>
      <c:valAx>
        <c:axId val="8096953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PAT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02527"/>
        <c:crosses val="max"/>
        <c:crossBetween val="between"/>
      </c:valAx>
      <c:catAx>
        <c:axId val="809702527"/>
        <c:scaling>
          <c:orientation val="minMax"/>
        </c:scaling>
        <c:delete val="1"/>
        <c:axPos val="b"/>
        <c:majorTickMark val="out"/>
        <c:minorTickMark val="none"/>
        <c:tickLblPos val="nextTo"/>
        <c:crossAx val="8096953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Cash Flow Bridge: CFO, Capex, 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CFO</c:v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Dashboard!$C$160:$L$160</c:f>
              <c:numCache>
                <c:formatCode>#,##0.0</c:formatCode>
                <c:ptCount val="10"/>
                <c:pt idx="0">
                  <c:v>3683.35</c:v>
                </c:pt>
                <c:pt idx="1">
                  <c:v>986.49</c:v>
                </c:pt>
                <c:pt idx="2">
                  <c:v>4193.43</c:v>
                </c:pt>
                <c:pt idx="3">
                  <c:v>6103.6</c:v>
                </c:pt>
                <c:pt idx="4">
                  <c:v>4423.96</c:v>
                </c:pt>
                <c:pt idx="5">
                  <c:v>4408.42</c:v>
                </c:pt>
                <c:pt idx="6">
                  <c:v>5189.26</c:v>
                </c:pt>
                <c:pt idx="7">
                  <c:v>5604.13</c:v>
                </c:pt>
                <c:pt idx="8">
                  <c:v>6049.29</c:v>
                </c:pt>
                <c:pt idx="9">
                  <c:v>6570.88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2-4B1D-B847-FC22B5E4B9F6}"/>
            </c:ext>
          </c:extLst>
        </c:ser>
        <c:ser>
          <c:idx val="1"/>
          <c:order val="1"/>
          <c:tx>
            <c:v>Capex</c:v>
          </c:tx>
          <c:spPr>
            <a:solidFill>
              <a:srgbClr val="EF4444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Dashboard!$C$161:$L$161</c:f>
              <c:numCache>
                <c:formatCode>#,##0.0</c:formatCode>
                <c:ptCount val="10"/>
                <c:pt idx="0">
                  <c:v>281.87</c:v>
                </c:pt>
                <c:pt idx="1">
                  <c:v>538.24</c:v>
                </c:pt>
                <c:pt idx="2">
                  <c:v>1273.3699999999999</c:v>
                </c:pt>
                <c:pt idx="3">
                  <c:v>2199.0100000000002</c:v>
                </c:pt>
                <c:pt idx="4">
                  <c:v>1805.32</c:v>
                </c:pt>
                <c:pt idx="5">
                  <c:v>2515.8000000000002</c:v>
                </c:pt>
                <c:pt idx="6">
                  <c:v>2717.06</c:v>
                </c:pt>
                <c:pt idx="7">
                  <c:v>2515.2199999999998</c:v>
                </c:pt>
                <c:pt idx="8">
                  <c:v>2716.44</c:v>
                </c:pt>
                <c:pt idx="9">
                  <c:v>2906.59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2-4B1D-B847-FC22B5E4B9F6}"/>
            </c:ext>
          </c:extLst>
        </c:ser>
        <c:ser>
          <c:idx val="2"/>
          <c:order val="2"/>
          <c:tx>
            <c:v>FCF</c:v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Dashboard!$C$162:$L$162</c:f>
              <c:numCache>
                <c:formatCode>#,##0.0</c:formatCode>
                <c:ptCount val="10"/>
                <c:pt idx="0">
                  <c:v>3401.48</c:v>
                </c:pt>
                <c:pt idx="1">
                  <c:v>448.25</c:v>
                </c:pt>
                <c:pt idx="2">
                  <c:v>2920.06</c:v>
                </c:pt>
                <c:pt idx="3">
                  <c:v>3904.59</c:v>
                </c:pt>
                <c:pt idx="4">
                  <c:v>2618.64</c:v>
                </c:pt>
                <c:pt idx="5">
                  <c:v>1892.62</c:v>
                </c:pt>
                <c:pt idx="6">
                  <c:v>2472.1999999999998</c:v>
                </c:pt>
                <c:pt idx="7">
                  <c:v>3088.91</c:v>
                </c:pt>
                <c:pt idx="8">
                  <c:v>3332.85</c:v>
                </c:pt>
                <c:pt idx="9">
                  <c:v>3664.29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2-4B1D-B847-FC22B5E4B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716447"/>
        <c:axId val="809717407"/>
      </c:barChart>
      <c:catAx>
        <c:axId val="80971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17407"/>
        <c:crosses val="autoZero"/>
        <c:auto val="1"/>
        <c:lblAlgn val="ctr"/>
        <c:lblOffset val="100"/>
        <c:noMultiLvlLbl val="0"/>
      </c:catAx>
      <c:valAx>
        <c:axId val="8097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₹ 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1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Dividends Paid &amp; Dividend per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Dividends (₹ Cr)</c:v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Dashboard!$C$163:$L$163</c:f>
              <c:numCache>
                <c:formatCode>#,##0.0</c:formatCode>
                <c:ptCount val="10"/>
                <c:pt idx="0">
                  <c:v>499.35</c:v>
                </c:pt>
                <c:pt idx="1">
                  <c:v>1762.8</c:v>
                </c:pt>
                <c:pt idx="2">
                  <c:v>1936.05</c:v>
                </c:pt>
                <c:pt idx="3">
                  <c:v>2550.88</c:v>
                </c:pt>
                <c:pt idx="4">
                  <c:v>3140.21</c:v>
                </c:pt>
                <c:pt idx="5">
                  <c:v>2950.1</c:v>
                </c:pt>
                <c:pt idx="6">
                  <c:v>3184.85</c:v>
                </c:pt>
                <c:pt idx="7">
                  <c:v>3436.19</c:v>
                </c:pt>
                <c:pt idx="8">
                  <c:v>3705.45</c:v>
                </c:pt>
                <c:pt idx="9">
                  <c:v>3954.53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7-48FC-B8EF-4925692CC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702047"/>
        <c:axId val="809718847"/>
      </c:barChart>
      <c:lineChart>
        <c:grouping val="standard"/>
        <c:varyColors val="0"/>
        <c:ser>
          <c:idx val="1"/>
          <c:order val="1"/>
          <c:tx>
            <c:v>DPS (₹)</c:v>
          </c:tx>
          <c:spPr>
            <a:ln w="28575" cap="rnd">
              <a:solidFill>
                <a:srgbClr val="7C2D1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C2D12"/>
              </a:solidFill>
              <a:ln w="9525">
                <a:solidFill>
                  <a:srgbClr val="7C2D12"/>
                </a:solidFill>
                <a:prstDash val="solid"/>
              </a:ln>
              <a:effectLst/>
            </c:spPr>
          </c:marker>
          <c:val>
            <c:numRef>
              <c:f>Dashboard!$C$171:$L$171</c:f>
              <c:numCache>
                <c:formatCode>#,##0.00</c:formatCode>
                <c:ptCount val="10"/>
                <c:pt idx="0">
                  <c:v>5.21</c:v>
                </c:pt>
                <c:pt idx="1">
                  <c:v>18.38</c:v>
                </c:pt>
                <c:pt idx="2">
                  <c:v>20.18</c:v>
                </c:pt>
                <c:pt idx="3">
                  <c:v>26.59</c:v>
                </c:pt>
                <c:pt idx="4">
                  <c:v>32.74</c:v>
                </c:pt>
                <c:pt idx="5">
                  <c:v>30.76</c:v>
                </c:pt>
                <c:pt idx="6">
                  <c:v>33.200000000000003</c:v>
                </c:pt>
                <c:pt idx="7">
                  <c:v>35.82</c:v>
                </c:pt>
                <c:pt idx="8">
                  <c:v>38.630000000000003</c:v>
                </c:pt>
                <c:pt idx="9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7-48FC-B8EF-4925692CC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032063"/>
        <c:axId val="864037823"/>
      </c:lineChart>
      <c:catAx>
        <c:axId val="80970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18847"/>
        <c:crosses val="autoZero"/>
        <c:auto val="1"/>
        <c:lblAlgn val="ctr"/>
        <c:lblOffset val="100"/>
        <c:noMultiLvlLbl val="0"/>
      </c:catAx>
      <c:valAx>
        <c:axId val="8097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Dividends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9702047"/>
        <c:crosses val="autoZero"/>
        <c:crossBetween val="between"/>
      </c:valAx>
      <c:valAx>
        <c:axId val="8640378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DPS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64032063"/>
        <c:crosses val="max"/>
        <c:crossBetween val="between"/>
      </c:valAx>
      <c:catAx>
        <c:axId val="864032063"/>
        <c:scaling>
          <c:orientation val="minMax"/>
        </c:scaling>
        <c:delete val="1"/>
        <c:axPos val="b"/>
        <c:majorTickMark val="out"/>
        <c:minorTickMark val="none"/>
        <c:tickLblPos val="nextTo"/>
        <c:crossAx val="8640378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Total Assets vs Total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Assets</c:v>
          </c:tx>
          <c:spPr>
            <a:solidFill>
              <a:srgbClr val="1E40AF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Dashboard!$C$154:$L$154</c:f>
              <c:numCache>
                <c:formatCode>#,##0</c:formatCode>
                <c:ptCount val="10"/>
                <c:pt idx="0">
                  <c:v>20369.62</c:v>
                </c:pt>
                <c:pt idx="1">
                  <c:v>22984.45</c:v>
                </c:pt>
                <c:pt idx="2">
                  <c:v>25798</c:v>
                </c:pt>
                <c:pt idx="3">
                  <c:v>29924.09</c:v>
                </c:pt>
                <c:pt idx="4">
                  <c:v>30371.37</c:v>
                </c:pt>
                <c:pt idx="5">
                  <c:v>31887.77</c:v>
                </c:pt>
                <c:pt idx="6">
                  <c:v>33580.71</c:v>
                </c:pt>
                <c:pt idx="7">
                  <c:v>35407.61</c:v>
                </c:pt>
                <c:pt idx="8">
                  <c:v>37378.25</c:v>
                </c:pt>
                <c:pt idx="9">
                  <c:v>39434.589999999997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7-4975-854E-AB4970CED91D}"/>
            </c:ext>
          </c:extLst>
        </c:ser>
        <c:ser>
          <c:idx val="1"/>
          <c:order val="1"/>
          <c:tx>
            <c:v>Total Equity</c:v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Dashboard!$C$155:$L$155</c:f>
              <c:numCache>
                <c:formatCode>#,##0</c:formatCode>
                <c:ptCount val="10"/>
                <c:pt idx="0">
                  <c:v>13229.15</c:v>
                </c:pt>
                <c:pt idx="1">
                  <c:v>14199.09</c:v>
                </c:pt>
                <c:pt idx="2">
                  <c:v>16445.89</c:v>
                </c:pt>
                <c:pt idx="3">
                  <c:v>19423.68</c:v>
                </c:pt>
                <c:pt idx="4">
                  <c:v>20059.05</c:v>
                </c:pt>
                <c:pt idx="5">
                  <c:v>21323.38</c:v>
                </c:pt>
                <c:pt idx="6">
                  <c:v>22688.32</c:v>
                </c:pt>
                <c:pt idx="7">
                  <c:v>24160.97</c:v>
                </c:pt>
                <c:pt idx="8">
                  <c:v>25749.02</c:v>
                </c:pt>
                <c:pt idx="9">
                  <c:v>27443.82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7-4975-854E-AB4970CE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057023"/>
        <c:axId val="864041663"/>
      </c:barChart>
      <c:catAx>
        <c:axId val="86405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64041663"/>
        <c:crosses val="autoZero"/>
        <c:auto val="1"/>
        <c:lblAlgn val="ctr"/>
        <c:lblOffset val="100"/>
        <c:noMultiLvlLbl val="0"/>
      </c:catAx>
      <c:valAx>
        <c:axId val="8640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₹ 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6405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Net Debt &amp; Net Debt / Equity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Debt (₹ Cr)</c:v>
          </c:tx>
          <c:spPr>
            <a:solidFill>
              <a:srgbClr val="DC2626"/>
            </a:solidFill>
            <a:ln>
              <a:noFill/>
            </a:ln>
            <a:effectLst/>
          </c:spPr>
          <c:invertIfNegative val="0"/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Dashboard!$C$158:$L$158</c:f>
              <c:numCache>
                <c:formatCode>#,##0.0</c:formatCode>
                <c:ptCount val="10"/>
                <c:pt idx="0">
                  <c:v>-6.16</c:v>
                </c:pt>
                <c:pt idx="1">
                  <c:v>153.94</c:v>
                </c:pt>
                <c:pt idx="2">
                  <c:v>449.11</c:v>
                </c:pt>
                <c:pt idx="3">
                  <c:v>277.8</c:v>
                </c:pt>
                <c:pt idx="4">
                  <c:v>418.47</c:v>
                </c:pt>
                <c:pt idx="5">
                  <c:v>1709.56</c:v>
                </c:pt>
                <c:pt idx="6">
                  <c:v>2674.52</c:v>
                </c:pt>
                <c:pt idx="7">
                  <c:v>3294.29</c:v>
                </c:pt>
                <c:pt idx="8">
                  <c:v>3961.17</c:v>
                </c:pt>
                <c:pt idx="9">
                  <c:v>4566.29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1-4300-B63E-2182C5127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073743"/>
        <c:axId val="684074223"/>
      </c:barChart>
      <c:lineChart>
        <c:grouping val="standard"/>
        <c:varyColors val="0"/>
        <c:ser>
          <c:idx val="1"/>
          <c:order val="1"/>
          <c:tx>
            <c:v>Net Debt / Equity</c:v>
          </c:tx>
          <c:spPr>
            <a:ln w="28575" cap="rnd">
              <a:solidFill>
                <a:srgbClr val="7F1D1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F1D1D"/>
              </a:solidFill>
              <a:ln w="9525">
                <a:solidFill>
                  <a:srgbClr val="7F1D1D"/>
                </a:solidFill>
                <a:prstDash val="solid"/>
              </a:ln>
              <a:effectLst/>
            </c:spPr>
          </c:marker>
          <c:val>
            <c:numRef>
              <c:f>Dashboard!$C$159:$L$159</c:f>
              <c:numCache>
                <c:formatCode>0.0%</c:formatCode>
                <c:ptCount val="10"/>
                <c:pt idx="0">
                  <c:v>-4.6563838190662291E-4</c:v>
                </c:pt>
                <c:pt idx="1">
                  <c:v>1.0841539845159091E-2</c:v>
                </c:pt>
                <c:pt idx="2">
                  <c:v>2.7308342692307929E-2</c:v>
                </c:pt>
                <c:pt idx="3">
                  <c:v>1.4302130183363812E-2</c:v>
                </c:pt>
                <c:pt idx="4">
                  <c:v>2.0861905224823712E-2</c:v>
                </c:pt>
                <c:pt idx="5">
                  <c:v>8.0173030729649791E-2</c:v>
                </c:pt>
                <c:pt idx="6">
                  <c:v>0.11788091846377344</c:v>
                </c:pt>
                <c:pt idx="7">
                  <c:v>0.13634758869366584</c:v>
                </c:pt>
                <c:pt idx="8">
                  <c:v>0.15383769945419282</c:v>
                </c:pt>
                <c:pt idx="9">
                  <c:v>0.16638682224267612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1-4300-B63E-2182C5127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33423"/>
        <c:axId val="107622863"/>
      </c:lineChart>
      <c:catAx>
        <c:axId val="68407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74223"/>
        <c:crosses val="autoZero"/>
        <c:auto val="1"/>
        <c:lblAlgn val="ctr"/>
        <c:lblOffset val="100"/>
        <c:noMultiLvlLbl val="0"/>
      </c:catAx>
      <c:valAx>
        <c:axId val="6840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Net Debt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84073743"/>
        <c:crosses val="autoZero"/>
        <c:crossBetween val="between"/>
      </c:valAx>
      <c:valAx>
        <c:axId val="1076228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Net Debt / Equity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07633423"/>
        <c:crosses val="max"/>
        <c:crossBetween val="between"/>
      </c:valAx>
      <c:catAx>
        <c:axId val="107633423"/>
        <c:scaling>
          <c:orientation val="minMax"/>
        </c:scaling>
        <c:delete val="1"/>
        <c:axPos val="b"/>
        <c:majorTickMark val="out"/>
        <c:minorTickMark val="none"/>
        <c:tickLblPos val="nextTo"/>
        <c:crossAx val="1076228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Dashboard!$C$97</c:f>
          <c:strCache>
            <c:ptCount val="1"/>
            <c:pt idx="0">
              <c:v>Revenue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F172A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</c:v>
          </c:tx>
          <c:spPr>
            <a:ln w="28575" cap="rnd">
              <a:solidFill>
                <a:srgbClr val="3B82F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B82F6"/>
              </a:solidFill>
              <a:ln w="9525">
                <a:solidFill>
                  <a:srgbClr val="3B82F6"/>
                </a:solidFill>
                <a:prstDash val="solid"/>
              </a:ln>
              <a:effectLst/>
            </c:spPr>
          </c:marker>
          <c:cat>
            <c:strRef>
              <c:f>Dashboard!$C$145:$L$145</c:f>
              <c:strCache>
                <c:ptCount val="10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  <c:pt idx="9">
                  <c:v>FY2030E</c:v>
                </c:pt>
              </c:strCache>
            </c:strRef>
          </c:cat>
          <c:val>
            <c:numRef>
              <c:f>Dashboard!$C$135:$L$135</c:f>
              <c:numCache>
                <c:formatCode>#,##0.00</c:formatCode>
                <c:ptCount val="10"/>
                <c:pt idx="0">
                  <c:v>22015.84</c:v>
                </c:pt>
                <c:pt idx="1">
                  <c:v>29481.29</c:v>
                </c:pt>
                <c:pt idx="2">
                  <c:v>34875.07</c:v>
                </c:pt>
                <c:pt idx="3">
                  <c:v>36182.69</c:v>
                </c:pt>
                <c:pt idx="4">
                  <c:v>34478.230000000003</c:v>
                </c:pt>
                <c:pt idx="5">
                  <c:v>36539.96</c:v>
                </c:pt>
                <c:pt idx="6">
                  <c:v>39465.15</c:v>
                </c:pt>
                <c:pt idx="7">
                  <c:v>42620.37</c:v>
                </c:pt>
                <c:pt idx="8">
                  <c:v>46024</c:v>
                </c:pt>
                <c:pt idx="9">
                  <c:v>49243.18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08-4155-B2BC-6D6D9A78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01967"/>
        <c:axId val="804305327"/>
      </c:lineChart>
      <c:catAx>
        <c:axId val="80430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BD5E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4305327"/>
        <c:crosses val="autoZero"/>
        <c:auto val="1"/>
        <c:lblAlgn val="ctr"/>
        <c:lblOffset val="100"/>
        <c:noMultiLvlLbl val="0"/>
      </c:catAx>
      <c:valAx>
        <c:axId val="8043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1F5F9"/>
              </a:solidFill>
              <a:prstDash val="solid"/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solidFill>
              <a:srgbClr val="CBD5E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475569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80430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76199</xdr:rowOff>
    </xdr:from>
    <xdr:to>
      <xdr:col>7</xdr:col>
      <xdr:colOff>0</xdr:colOff>
      <xdr:row>29</xdr:row>
      <xdr:rowOff>190499</xdr:rowOff>
    </xdr:to>
    <xdr:graphicFrame macro="">
      <xdr:nvGraphicFramePr>
        <xdr:cNvPr id="2" name="tracelight-9a1ae8ce59e94323revenue-&amp;-pat-trajectory-(₹-cr)">
          <a:extLst>
            <a:ext uri="{FF2B5EF4-FFF2-40B4-BE49-F238E27FC236}">
              <a16:creationId xmlns:a16="http://schemas.microsoft.com/office/drawing/2014/main" id="{95A6DB80-D764-72A8-DE23-BECDB6FAD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76199</xdr:rowOff>
    </xdr:from>
    <xdr:to>
      <xdr:col>14</xdr:col>
      <xdr:colOff>0</xdr:colOff>
      <xdr:row>29</xdr:row>
      <xdr:rowOff>190499</xdr:rowOff>
    </xdr:to>
    <xdr:graphicFrame macro="">
      <xdr:nvGraphicFramePr>
        <xdr:cNvPr id="3" name="tracelight-5efb439dad52420eebitda-&amp;-ebitda-margin">
          <a:extLst>
            <a:ext uri="{FF2B5EF4-FFF2-40B4-BE49-F238E27FC236}">
              <a16:creationId xmlns:a16="http://schemas.microsoft.com/office/drawing/2014/main" id="{58E28840-F275-5FFA-9504-8B57D92B7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76199</xdr:rowOff>
    </xdr:from>
    <xdr:to>
      <xdr:col>7</xdr:col>
      <xdr:colOff>0</xdr:colOff>
      <xdr:row>50</xdr:row>
      <xdr:rowOff>190499</xdr:rowOff>
    </xdr:to>
    <xdr:graphicFrame macro="">
      <xdr:nvGraphicFramePr>
        <xdr:cNvPr id="4" name="tracelight-9753c59a381040a2returns-profile-(roe-/-roa-/-roce)">
          <a:extLst>
            <a:ext uri="{FF2B5EF4-FFF2-40B4-BE49-F238E27FC236}">
              <a16:creationId xmlns:a16="http://schemas.microsoft.com/office/drawing/2014/main" id="{A5436101-5566-D9CE-49C6-CC301C7BA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76199</xdr:rowOff>
    </xdr:from>
    <xdr:to>
      <xdr:col>14</xdr:col>
      <xdr:colOff>0</xdr:colOff>
      <xdr:row>50</xdr:row>
      <xdr:rowOff>190499</xdr:rowOff>
    </xdr:to>
    <xdr:graphicFrame macro="">
      <xdr:nvGraphicFramePr>
        <xdr:cNvPr id="5" name="tracelight-fecd37ff10b440b1pat-&amp;-pat-margin">
          <a:extLst>
            <a:ext uri="{FF2B5EF4-FFF2-40B4-BE49-F238E27FC236}">
              <a16:creationId xmlns:a16="http://schemas.microsoft.com/office/drawing/2014/main" id="{AFA4F686-BBFE-AFE2-4274-37EAEAF96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53</xdr:row>
      <xdr:rowOff>76199</xdr:rowOff>
    </xdr:from>
    <xdr:to>
      <xdr:col>7</xdr:col>
      <xdr:colOff>0</xdr:colOff>
      <xdr:row>71</xdr:row>
      <xdr:rowOff>190499</xdr:rowOff>
    </xdr:to>
    <xdr:graphicFrame macro="">
      <xdr:nvGraphicFramePr>
        <xdr:cNvPr id="6" name="tracelight-bc9901170f624144cash-flow-bridge:-cfo,-capex,-fcf">
          <a:extLst>
            <a:ext uri="{FF2B5EF4-FFF2-40B4-BE49-F238E27FC236}">
              <a16:creationId xmlns:a16="http://schemas.microsoft.com/office/drawing/2014/main" id="{975E2974-4029-3D9A-4345-9C0376F4B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53</xdr:row>
      <xdr:rowOff>76199</xdr:rowOff>
    </xdr:from>
    <xdr:to>
      <xdr:col>14</xdr:col>
      <xdr:colOff>0</xdr:colOff>
      <xdr:row>71</xdr:row>
      <xdr:rowOff>190499</xdr:rowOff>
    </xdr:to>
    <xdr:graphicFrame macro="">
      <xdr:nvGraphicFramePr>
        <xdr:cNvPr id="7" name="tracelight-eed166a63d864ef6dividends-paid-&amp;-dividend-per-share">
          <a:extLst>
            <a:ext uri="{FF2B5EF4-FFF2-40B4-BE49-F238E27FC236}">
              <a16:creationId xmlns:a16="http://schemas.microsoft.com/office/drawing/2014/main" id="{A2DEBEA1-430D-E28B-34B4-F749E744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74</xdr:row>
      <xdr:rowOff>76199</xdr:rowOff>
    </xdr:from>
    <xdr:to>
      <xdr:col>7</xdr:col>
      <xdr:colOff>0</xdr:colOff>
      <xdr:row>92</xdr:row>
      <xdr:rowOff>190499</xdr:rowOff>
    </xdr:to>
    <xdr:graphicFrame macro="">
      <xdr:nvGraphicFramePr>
        <xdr:cNvPr id="8" name="tracelight-53aa0215c2814dfbtotal-assets-vs-total-equity">
          <a:extLst>
            <a:ext uri="{FF2B5EF4-FFF2-40B4-BE49-F238E27FC236}">
              <a16:creationId xmlns:a16="http://schemas.microsoft.com/office/drawing/2014/main" id="{27C4F265-B196-2C7D-70D7-C77F7BA64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75</xdr:row>
      <xdr:rowOff>0</xdr:rowOff>
    </xdr:from>
    <xdr:to>
      <xdr:col>14</xdr:col>
      <xdr:colOff>0</xdr:colOff>
      <xdr:row>93</xdr:row>
      <xdr:rowOff>0</xdr:rowOff>
    </xdr:to>
    <xdr:graphicFrame macro="">
      <xdr:nvGraphicFramePr>
        <xdr:cNvPr id="9" name="tracelight-82b2759e94164da7net-debt-&amp;-net-debt-/-equity">
          <a:extLst>
            <a:ext uri="{FF2B5EF4-FFF2-40B4-BE49-F238E27FC236}">
              <a16:creationId xmlns:a16="http://schemas.microsoft.com/office/drawing/2014/main" id="{D2878E18-A259-C83E-C0BE-2FE7E906D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228599</xdr:colOff>
      <xdr:row>101</xdr:row>
      <xdr:rowOff>0</xdr:rowOff>
    </xdr:from>
    <xdr:to>
      <xdr:col>13</xdr:col>
      <xdr:colOff>1209674</xdr:colOff>
      <xdr:row>119</xdr:row>
      <xdr:rowOff>0</xdr:rowOff>
    </xdr:to>
    <xdr:graphicFrame macro="">
      <xdr:nvGraphicFramePr>
        <xdr:cNvPr id="10" name="tracelight-9e92fdd0003e4bf4metric-explorer--•--selected:-=$c$97">
          <a:extLst>
            <a:ext uri="{FF2B5EF4-FFF2-40B4-BE49-F238E27FC236}">
              <a16:creationId xmlns:a16="http://schemas.microsoft.com/office/drawing/2014/main" id="{F1A962E5-317A-A67B-9614-05AB51CC2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C1C065-16F0-4477-9B9D-67A96174EBD8}">
  <we:reference id="wa200008399" version="1.0.0.4" store="en-US" storeType="OMEX"/>
  <we:alternateReferences>
    <we:reference id="wa200008399" version="1.0.0.4" store="wa200008399" storeType="OMEX"/>
  </we:alternateReferences>
  <we:properties>
    <we:property name="ProjectMetadata" value="&quot;{\&quot;projectId\&quot;:\&quot;51856ed4-6178-48a7-9104-f6af57e8e778\&quot;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5F4E-2619-4040-9CEB-0CD72CD966E9}">
  <sheetPr>
    <tabColor rgb="FFDC2626"/>
  </sheetPr>
  <dimension ref="A1:O175"/>
  <sheetViews>
    <sheetView showGridLines="0" tabSelected="1" zoomScale="68" zoomScaleNormal="55" workbookViewId="0">
      <selection activeCell="F154" sqref="F154"/>
    </sheetView>
  </sheetViews>
  <sheetFormatPr defaultRowHeight="15.75" outlineLevelRow="1" x14ac:dyDescent="0.25"/>
  <cols>
    <col min="1" max="1" width="2.6640625" style="14" customWidth="1"/>
    <col min="2" max="2" width="18.44140625" style="14" customWidth="1"/>
    <col min="3" max="7" width="14.109375" style="14" customWidth="1"/>
    <col min="8" max="8" width="10.109375" style="14" bestFit="1" customWidth="1"/>
    <col min="9" max="14" width="14.109375" style="14" customWidth="1"/>
    <col min="15" max="15" width="2.6640625" style="14" customWidth="1"/>
    <col min="16" max="16384" width="8.88671875" style="14"/>
  </cols>
  <sheetData>
    <row r="1" spans="1:15" ht="28.5" x14ac:dyDescent="0.25">
      <c r="A1" s="13"/>
      <c r="B1" s="28" t="s">
        <v>0</v>
      </c>
      <c r="C1" s="28"/>
      <c r="D1" s="28"/>
      <c r="E1" s="28"/>
      <c r="F1" s="2"/>
      <c r="G1" s="2"/>
      <c r="H1" s="2"/>
      <c r="I1" s="2"/>
      <c r="J1" s="2"/>
      <c r="K1" s="2"/>
      <c r="L1" s="2"/>
      <c r="M1" s="2"/>
      <c r="N1" s="2"/>
      <c r="O1" s="13"/>
    </row>
    <row r="2" spans="1:15" ht="21" customHeight="1" x14ac:dyDescent="0.25">
      <c r="A2" s="13"/>
      <c r="B2" s="90" t="s">
        <v>1</v>
      </c>
      <c r="C2" s="90"/>
      <c r="D2" s="90"/>
      <c r="E2" s="90"/>
      <c r="F2" s="90"/>
      <c r="G2" s="3"/>
      <c r="H2" s="3"/>
      <c r="I2" s="3"/>
      <c r="J2" s="3"/>
      <c r="K2" s="3"/>
      <c r="L2" s="3"/>
      <c r="M2" s="3"/>
      <c r="N2" s="3"/>
      <c r="O2" s="13"/>
    </row>
    <row r="3" spans="1:1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5.5" customHeight="1" x14ac:dyDescent="0.25">
      <c r="A4" s="15"/>
      <c r="B4" s="84" t="s">
        <v>2</v>
      </c>
      <c r="C4" s="8" t="s">
        <v>14</v>
      </c>
      <c r="D4" s="15"/>
      <c r="E4" s="15"/>
      <c r="F4" s="44" t="s">
        <v>4</v>
      </c>
      <c r="G4" s="15"/>
      <c r="H4" s="15"/>
      <c r="I4" s="84" t="s">
        <v>5</v>
      </c>
      <c r="J4" s="8" t="s">
        <v>3</v>
      </c>
      <c r="K4" s="15"/>
      <c r="L4" s="15"/>
      <c r="M4" s="15"/>
      <c r="N4" s="15"/>
      <c r="O4" s="15"/>
    </row>
    <row r="5" spans="1:15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25">
      <c r="A6" s="15"/>
      <c r="B6" s="16"/>
      <c r="C6" s="17"/>
      <c r="D6" s="18"/>
      <c r="E6" s="19"/>
      <c r="F6" s="20"/>
      <c r="G6" s="21"/>
      <c r="H6" s="15"/>
      <c r="I6" s="22"/>
      <c r="J6" s="23"/>
      <c r="K6" s="24"/>
      <c r="L6" s="25"/>
      <c r="M6" s="26"/>
      <c r="N6" s="27"/>
      <c r="O6" s="15"/>
    </row>
    <row r="7" spans="1:15" ht="18.75" customHeight="1" x14ac:dyDescent="0.25">
      <c r="A7" s="15"/>
      <c r="B7" s="45" t="s">
        <v>46</v>
      </c>
      <c r="C7" s="46"/>
      <c r="D7" s="45" t="s">
        <v>21</v>
      </c>
      <c r="E7" s="46"/>
      <c r="F7" s="45" t="s">
        <v>47</v>
      </c>
      <c r="G7" s="47"/>
      <c r="H7" s="15"/>
      <c r="I7" s="45" t="s">
        <v>25</v>
      </c>
      <c r="J7" s="46"/>
      <c r="K7" s="45" t="s">
        <v>37</v>
      </c>
      <c r="L7" s="46"/>
      <c r="M7" s="45" t="s">
        <v>48</v>
      </c>
      <c r="N7" s="9"/>
      <c r="O7" s="15"/>
    </row>
    <row r="8" spans="1:15" ht="34.5" x14ac:dyDescent="0.55000000000000004">
      <c r="A8" s="15"/>
      <c r="B8" s="38" cm="1">
        <f t="array" ref="B8">INDEX($C$146:$L$146,1,$C$142)</f>
        <v>36182.69</v>
      </c>
      <c r="C8" s="39"/>
      <c r="D8" s="38" cm="1">
        <f t="array" ref="D8">INDEX($C$148:$L$148,1,$C$142)</f>
        <v>8272.94</v>
      </c>
      <c r="E8" s="39"/>
      <c r="F8" s="40" cm="1">
        <f t="array" ref="F8">INDEX($C$149:$L$149,1,$C$142)</f>
        <v>0.22864358620102596</v>
      </c>
      <c r="G8" s="41"/>
      <c r="H8" s="42"/>
      <c r="I8" s="38" cm="1">
        <f t="array" ref="I8">INDEX($C$152:$L$152,1,$C$142)</f>
        <v>5557.69</v>
      </c>
      <c r="J8" s="39"/>
      <c r="K8" s="40" cm="1">
        <f t="array" ref="K8">INDEX($C$164:$L$164,1,$C$142)</f>
        <v>0.28999999999999998</v>
      </c>
      <c r="L8" s="39"/>
      <c r="M8" s="43" cm="1">
        <f t="array" ref="M8">INDEX($C$169:$L$169,1,$C$142)</f>
        <v>56.95</v>
      </c>
      <c r="N8" s="10"/>
      <c r="O8" s="15"/>
    </row>
    <row r="9" spans="1:15" ht="42" customHeight="1" x14ac:dyDescent="0.25">
      <c r="A9" s="37"/>
      <c r="B9" s="86" t="str" cm="1">
        <f t="array" ref="B9">IF(INDEX($C$146:$L$146,1,$C$142)&gt;=INDEX($C$146:$L$146,1,$E$142),"▲ +","▼ ")&amp;TEXT(INDEX($C$146:$L$146,1,$C$142)/INDEX($C$146:$L$146,1,$E$142)-1,"0.0%")&amp;" vs "&amp;$J$4</f>
        <v>▼ -26.5% vs FY2030E</v>
      </c>
      <c r="C9" s="87"/>
      <c r="D9" s="86" t="str" cm="1">
        <f t="array" ref="D9">IF(INDEX($C$148:$L$148,1,$C$142)&gt;=INDEX($C$148:$L$148,1,$E$142),"▲ +","▼ ")&amp;TEXT(INDEX($C$148:$L$148,1,$C$142)/INDEX($C$148:$L$148,1,$E$142)-1,"0.0%")&amp;" vs "&amp;$J$4</f>
        <v>▼ -10.8% vs FY2030E</v>
      </c>
      <c r="E9" s="87"/>
      <c r="F9" s="86" t="str" cm="1">
        <f t="array" ref="F9">IF(INDEX($C$149:$L$149,1,$C$142)&gt;=INDEX($C$149:$L$149,1,$E$142),"▲ +","▼ ")&amp;TEXT(INDEX($C$149:$L$149,1,$C$142)/INDEX($C$149:$L$149,1,$E$142)-1,"0.0%")&amp;" vs "&amp;$J$4</f>
        <v>▲ +21.4% vs FY2030E</v>
      </c>
      <c r="G9" s="88"/>
      <c r="H9" s="89"/>
      <c r="I9" s="86" t="str" cm="1">
        <f t="array" ref="I9">IF(INDEX($C$152:$L$152,1,$C$142)&gt;=INDEX($C$152:$L$152,1,$E$142),"▲ +","▼ ")&amp;TEXT(INDEX($C$152:$L$152,1,$C$142)/INDEX($C$152:$L$152,1,$E$142)-1,"0.0%")&amp;" vs "&amp;$J$4</f>
        <v>▼ -1.6% vs FY2030E</v>
      </c>
      <c r="J9" s="87"/>
      <c r="K9" s="86" t="str" cm="1">
        <f t="array" ref="K9">IF(INDEX($C$164:$L$164,1,$C$142)&gt;=INDEX($C$164:$L$164,1,$E$142),"▲ +","▼ ")&amp;TEXT(INDEX($C$164:$L$164,1,$C$142)/INDEX($C$164:$L$164,1,$E$142)-1,"0.0%")&amp;" vs "&amp;$J$4</f>
        <v>▲ +38.1% vs FY2030E</v>
      </c>
      <c r="L9" s="87"/>
      <c r="M9" s="86" t="str" cm="1">
        <f t="array" ref="M9">IF(INDEX($C$169:$L$169,1,$C$142)&gt;=INDEX($C$169:$L$169,1,$E$142),"▲ +","▼ ")&amp;TEXT(INDEX($C$169:$L$169,1,$C$142)/INDEX($C$169:$L$169,1,$E$142)-1,"0.0%")&amp;" vs "&amp;$J$4</f>
        <v>▼ -2.2% vs FY2030E</v>
      </c>
      <c r="N9" s="48"/>
      <c r="O9" s="15"/>
    </row>
    <row r="10" spans="1:15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5"/>
      <c r="B11" s="49" t="s">
        <v>49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5"/>
    </row>
    <row r="12" spans="1:1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x14ac:dyDescent="0.25">
      <c r="A32" s="15"/>
      <c r="B32" s="49" t="s">
        <v>50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5"/>
    </row>
    <row r="33" spans="1:1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1:15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1:15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1:15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1:15" x14ac:dyDescent="0.25">
      <c r="A53" s="15"/>
      <c r="B53" s="49" t="s">
        <v>51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5"/>
    </row>
    <row r="54" spans="1:1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</row>
    <row r="55" spans="1:15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spans="1:15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</row>
    <row r="57" spans="1:15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1:15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1:15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1:15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1:15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1:15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</row>
    <row r="69" spans="1:15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1:15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1:15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1:15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1:15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1:15" x14ac:dyDescent="0.25">
      <c r="A74" s="15"/>
      <c r="B74" s="49" t="s">
        <v>52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5"/>
    </row>
    <row r="75" spans="1:15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1:15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1:15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spans="1:15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spans="1:15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spans="1:15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1:15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1:15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1:15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1:15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 x14ac:dyDescent="0.25">
      <c r="A95" s="15"/>
      <c r="B95" s="49" t="s">
        <v>54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5"/>
    </row>
    <row r="96" spans="1:15" ht="8.1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1:15" ht="27.95" customHeight="1" x14ac:dyDescent="0.25">
      <c r="A97" s="15"/>
      <c r="B97" s="4" t="s">
        <v>55</v>
      </c>
      <c r="C97" s="7" t="s">
        <v>19</v>
      </c>
      <c r="D97" s="6"/>
      <c r="E97" s="30"/>
      <c r="F97" s="15"/>
      <c r="G97" s="85" t="s">
        <v>56</v>
      </c>
      <c r="H97" s="29"/>
      <c r="I97" s="29"/>
      <c r="J97" s="29"/>
      <c r="K97" s="29"/>
      <c r="L97" s="29"/>
      <c r="M97" s="29"/>
      <c r="N97" s="29"/>
      <c r="O97" s="15"/>
    </row>
    <row r="98" spans="1:15" ht="6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1:15" x14ac:dyDescent="0.25">
      <c r="A99" s="15"/>
      <c r="B99" s="55" t="s">
        <v>57</v>
      </c>
      <c r="C99" s="56"/>
      <c r="D99" s="57" t="s">
        <v>58</v>
      </c>
      <c r="E99" s="58"/>
      <c r="F99" s="59" t="s">
        <v>59</v>
      </c>
      <c r="G99" s="60"/>
      <c r="H99" s="15"/>
      <c r="I99" s="61" t="s">
        <v>60</v>
      </c>
      <c r="J99" s="62"/>
      <c r="K99" s="63" t="s">
        <v>61</v>
      </c>
      <c r="L99" s="64"/>
      <c r="M99" s="65" t="s">
        <v>62</v>
      </c>
      <c r="N99" s="32"/>
      <c r="O99" s="15"/>
    </row>
    <row r="100" spans="1:15" ht="57" customHeight="1" x14ac:dyDescent="0.55000000000000004">
      <c r="A100" s="15"/>
      <c r="B100" s="50">
        <f>L135</f>
        <v>49243.18</v>
      </c>
      <c r="C100" s="51"/>
      <c r="D100" s="52">
        <f>(G135/C135)^(1/4)-1</f>
        <v>0.11867111794557195</v>
      </c>
      <c r="E100" s="51"/>
      <c r="F100" s="52">
        <f>(L135/G135)^(1/5)-1</f>
        <v>7.3891056832277036E-2</v>
      </c>
      <c r="G100" s="53"/>
      <c r="H100" s="42"/>
      <c r="I100" s="50">
        <f>MAX(C135:L135)</f>
        <v>49243.18</v>
      </c>
      <c r="J100" s="51"/>
      <c r="K100" s="50">
        <f>MIN(C135:L135)</f>
        <v>22015.84</v>
      </c>
      <c r="L100" s="51"/>
      <c r="M100" s="54" t="str">
        <f>INDEX($C$145:$L$145, MATCH(MAX(C135:L135), C135:L135, 0))</f>
        <v>FY2030E</v>
      </c>
      <c r="N100" s="31"/>
      <c r="O100" s="15"/>
    </row>
    <row r="101" spans="1:15" ht="9.9499999999999993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spans="1:15" ht="1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1:15" ht="1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1:15" ht="1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1:15" ht="1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1:15" ht="1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 ht="1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 ht="1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1:15" ht="1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1:15" ht="1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1:15" ht="1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 ht="1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 ht="1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1:15" ht="1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 ht="1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 ht="1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1:15" ht="1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1:15" ht="1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1:15" ht="1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1:15" ht="12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1:15" x14ac:dyDescent="0.25">
      <c r="A121" s="15"/>
      <c r="B121" s="49" t="s">
        <v>64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5"/>
    </row>
    <row r="122" spans="1:15" ht="6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1:15" ht="21.95" customHeight="1" thickBot="1" x14ac:dyDescent="0.3">
      <c r="A123" s="15"/>
      <c r="B123" s="66" t="s">
        <v>65</v>
      </c>
      <c r="C123" s="67" t="s">
        <v>66</v>
      </c>
      <c r="D123" s="67" t="s">
        <v>67</v>
      </c>
      <c r="E123" s="67" t="s">
        <v>68</v>
      </c>
      <c r="F123" s="67" t="s">
        <v>69</v>
      </c>
      <c r="G123" s="67" t="s">
        <v>70</v>
      </c>
      <c r="H123" s="36"/>
      <c r="I123" s="67" t="s">
        <v>71</v>
      </c>
      <c r="J123" s="67" t="s">
        <v>72</v>
      </c>
      <c r="K123" s="67" t="s">
        <v>73</v>
      </c>
      <c r="L123" s="68" t="s">
        <v>74</v>
      </c>
      <c r="M123" s="15"/>
      <c r="N123" s="15"/>
      <c r="O123" s="15"/>
    </row>
    <row r="124" spans="1:15" ht="21.95" customHeight="1" x14ac:dyDescent="0.25">
      <c r="A124" s="15"/>
      <c r="B124" s="69" t="s">
        <v>19</v>
      </c>
      <c r="C124" s="70">
        <f t="shared" ref="C124:G124" si="0">D146/C146-1</f>
        <v>0.33909448833203726</v>
      </c>
      <c r="D124" s="71">
        <f t="shared" si="0"/>
        <v>0.18295603754109813</v>
      </c>
      <c r="E124" s="71">
        <f t="shared" si="0"/>
        <v>3.7494405029151245E-2</v>
      </c>
      <c r="F124" s="71">
        <f t="shared" si="0"/>
        <v>-4.7107055887773974E-2</v>
      </c>
      <c r="G124" s="71">
        <f t="shared" si="0"/>
        <v>5.9798023274396428E-2</v>
      </c>
      <c r="H124" s="34"/>
      <c r="I124" s="70">
        <f t="shared" ref="I124:L124" si="1">I146/H146-1</f>
        <v>8.0054548499779443E-2</v>
      </c>
      <c r="J124" s="71">
        <f t="shared" si="1"/>
        <v>7.9949525087323892E-2</v>
      </c>
      <c r="K124" s="71">
        <f t="shared" si="1"/>
        <v>7.985923163032127E-2</v>
      </c>
      <c r="L124" s="72">
        <f t="shared" si="1"/>
        <v>6.9945680514514219E-2</v>
      </c>
      <c r="M124" s="15"/>
      <c r="N124" s="15"/>
      <c r="O124" s="15"/>
    </row>
    <row r="125" spans="1:15" ht="21.95" customHeight="1" x14ac:dyDescent="0.25">
      <c r="A125" s="15"/>
      <c r="B125" s="69" t="s">
        <v>21</v>
      </c>
      <c r="C125" s="73">
        <f t="shared" ref="C125:G125" si="2">D148/C148-1</f>
        <v>4.8404136741202475E-3</v>
      </c>
      <c r="D125" s="74">
        <f t="shared" si="2"/>
        <v>0.28217732009676633</v>
      </c>
      <c r="E125" s="74">
        <f t="shared" si="2"/>
        <v>0.24473994631615703</v>
      </c>
      <c r="F125" s="74">
        <f t="shared" si="2"/>
        <v>-0.204778470531637</v>
      </c>
      <c r="G125" s="74">
        <f t="shared" si="2"/>
        <v>4.7222754232521869E-2</v>
      </c>
      <c r="H125" s="34"/>
      <c r="I125" s="73">
        <f t="shared" ref="I125:L125" si="3">I148/H148-1</f>
        <v>8.0290413368768965E-2</v>
      </c>
      <c r="J125" s="74">
        <f t="shared" si="3"/>
        <v>7.9731009788180485E-2</v>
      </c>
      <c r="K125" s="74">
        <f t="shared" si="3"/>
        <v>7.9254012538482854E-2</v>
      </c>
      <c r="L125" s="75">
        <f t="shared" si="3"/>
        <v>6.971215099821837E-2</v>
      </c>
      <c r="M125" s="15"/>
      <c r="N125" s="15"/>
      <c r="O125" s="15"/>
    </row>
    <row r="126" spans="1:15" ht="21.95" customHeight="1" x14ac:dyDescent="0.25">
      <c r="A126" s="15"/>
      <c r="B126" s="69" t="s">
        <v>23</v>
      </c>
      <c r="C126" s="73">
        <f t="shared" ref="C126:G126" si="4">D150/C150-1</f>
        <v>-2.7476427514883106E-5</v>
      </c>
      <c r="D126" s="74">
        <f t="shared" si="4"/>
        <v>0.32538479504311635</v>
      </c>
      <c r="E126" s="74">
        <f t="shared" si="4"/>
        <v>0.28188587322702685</v>
      </c>
      <c r="F126" s="74">
        <f t="shared" si="4"/>
        <v>-0.25168128044162086</v>
      </c>
      <c r="G126" s="74">
        <f t="shared" si="4"/>
        <v>4.1165389159438792E-2</v>
      </c>
      <c r="H126" s="34"/>
      <c r="I126" s="73">
        <f t="shared" ref="I126:L126" si="5">I150/H150-1</f>
        <v>8.0345265998391202E-2</v>
      </c>
      <c r="J126" s="74">
        <f t="shared" si="5"/>
        <v>7.9679386697365961E-2</v>
      </c>
      <c r="K126" s="74">
        <f t="shared" si="5"/>
        <v>7.9109676902703097E-2</v>
      </c>
      <c r="L126" s="75">
        <f t="shared" si="5"/>
        <v>6.7738867771025557E-2</v>
      </c>
      <c r="M126" s="15"/>
      <c r="N126" s="15"/>
      <c r="O126" s="15"/>
    </row>
    <row r="127" spans="1:15" ht="21.95" customHeight="1" x14ac:dyDescent="0.25">
      <c r="A127" s="15"/>
      <c r="B127" s="69" t="s">
        <v>25</v>
      </c>
      <c r="C127" s="73">
        <f t="shared" ref="C127:G127" si="6">D152/C152-1</f>
        <v>-3.8026038824354846E-2</v>
      </c>
      <c r="D127" s="74">
        <f t="shared" si="6"/>
        <v>0.35999623963874594</v>
      </c>
      <c r="E127" s="74">
        <f t="shared" si="6"/>
        <v>0.32473250018472921</v>
      </c>
      <c r="F127" s="74">
        <f t="shared" si="6"/>
        <v>-0.33250865017660214</v>
      </c>
      <c r="G127" s="74">
        <f t="shared" si="6"/>
        <v>0.13605376161478944</v>
      </c>
      <c r="H127" s="34"/>
      <c r="I127" s="73">
        <f t="shared" ref="I127:L127" si="7">I152/H152-1</f>
        <v>7.9574224746881361E-2</v>
      </c>
      <c r="J127" s="74">
        <f t="shared" si="7"/>
        <v>7.8917928080197264E-2</v>
      </c>
      <c r="K127" s="74">
        <f t="shared" si="7"/>
        <v>7.8358474999236094E-2</v>
      </c>
      <c r="L127" s="75">
        <f t="shared" si="7"/>
        <v>6.7220175687163541E-2</v>
      </c>
      <c r="M127" s="15"/>
      <c r="N127" s="15"/>
      <c r="O127" s="15"/>
    </row>
    <row r="128" spans="1:15" ht="21.95" customHeight="1" x14ac:dyDescent="0.25">
      <c r="A128" s="15"/>
      <c r="B128" s="69" t="s">
        <v>42</v>
      </c>
      <c r="C128" s="73">
        <f t="shared" ref="C128:G128" si="8">D169/C169-1</f>
        <v>-3.483043079743342E-2</v>
      </c>
      <c r="D128" s="74">
        <f t="shared" si="8"/>
        <v>0.35580880025324468</v>
      </c>
      <c r="E128" s="74">
        <f t="shared" si="8"/>
        <v>0.3296754611253796</v>
      </c>
      <c r="F128" s="74">
        <f t="shared" si="8"/>
        <v>-0.32835820895522394</v>
      </c>
      <c r="G128" s="74">
        <f t="shared" si="8"/>
        <v>0.13542483660130711</v>
      </c>
      <c r="H128" s="34"/>
      <c r="I128" s="73">
        <f t="shared" ref="I128:L128" si="9">I169/H169-1</f>
        <v>7.9668431959474928E-2</v>
      </c>
      <c r="J128" s="74">
        <f t="shared" si="9"/>
        <v>7.8908082746854458E-2</v>
      </c>
      <c r="K128" s="74">
        <f t="shared" si="9"/>
        <v>7.827633919746968E-2</v>
      </c>
      <c r="L128" s="75">
        <f t="shared" si="9"/>
        <v>6.7277726856095343E-2</v>
      </c>
      <c r="M128" s="15"/>
      <c r="N128" s="15"/>
      <c r="O128" s="15"/>
    </row>
    <row r="129" spans="1:15" ht="21.95" customHeight="1" x14ac:dyDescent="0.25">
      <c r="A129" s="15"/>
      <c r="B129" s="69" t="s">
        <v>27</v>
      </c>
      <c r="C129" s="73">
        <f t="shared" ref="C129:G130" si="10">D154/C154-1</f>
        <v>0.1283691104694149</v>
      </c>
      <c r="D129" s="74">
        <f t="shared" si="10"/>
        <v>0.12241102136444426</v>
      </c>
      <c r="E129" s="74">
        <f t="shared" si="10"/>
        <v>0.15993836731529587</v>
      </c>
      <c r="F129" s="74">
        <f t="shared" si="10"/>
        <v>1.4947154616898883E-2</v>
      </c>
      <c r="G129" s="74">
        <f t="shared" si="10"/>
        <v>4.9928600520819488E-2</v>
      </c>
      <c r="H129" s="34"/>
      <c r="I129" s="73">
        <f t="shared" ref="I129:L130" si="11">I154/H154-1</f>
        <v>5.3090573596084045E-2</v>
      </c>
      <c r="J129" s="74">
        <f t="shared" si="11"/>
        <v>5.4403257108024183E-2</v>
      </c>
      <c r="K129" s="74">
        <f t="shared" si="11"/>
        <v>5.5655832178449716E-2</v>
      </c>
      <c r="L129" s="75">
        <f t="shared" si="11"/>
        <v>5.5014346578558193E-2</v>
      </c>
      <c r="M129" s="15"/>
      <c r="N129" s="15"/>
      <c r="O129" s="15"/>
    </row>
    <row r="130" spans="1:15" ht="21.95" customHeight="1" x14ac:dyDescent="0.25">
      <c r="A130" s="15"/>
      <c r="B130" s="69" t="s">
        <v>28</v>
      </c>
      <c r="C130" s="73">
        <f t="shared" si="10"/>
        <v>7.331839158222575E-2</v>
      </c>
      <c r="D130" s="74">
        <f t="shared" si="10"/>
        <v>0.15823549255621305</v>
      </c>
      <c r="E130" s="74">
        <f t="shared" si="10"/>
        <v>0.18106590765230712</v>
      </c>
      <c r="F130" s="74">
        <f t="shared" si="10"/>
        <v>3.271110314832204E-2</v>
      </c>
      <c r="G130" s="74">
        <f t="shared" si="10"/>
        <v>6.3030402735922308E-2</v>
      </c>
      <c r="H130" s="34"/>
      <c r="I130" s="73">
        <f t="shared" si="11"/>
        <v>6.4011427831797807E-2</v>
      </c>
      <c r="J130" s="74">
        <f t="shared" si="11"/>
        <v>6.490784685688511E-2</v>
      </c>
      <c r="K130" s="74">
        <f t="shared" si="11"/>
        <v>6.5727907447424405E-2</v>
      </c>
      <c r="L130" s="75">
        <f t="shared" si="11"/>
        <v>6.5819980721596449E-2</v>
      </c>
      <c r="M130" s="15"/>
      <c r="N130" s="15"/>
      <c r="O130" s="15"/>
    </row>
    <row r="131" spans="1:15" ht="21.95" customHeight="1" x14ac:dyDescent="0.25">
      <c r="A131" s="15"/>
      <c r="B131" s="69" t="s">
        <v>33</v>
      </c>
      <c r="C131" s="73">
        <f t="shared" ref="C131:G131" si="12">D160/C160-1</f>
        <v>-0.73217587250736416</v>
      </c>
      <c r="D131" s="74">
        <f t="shared" si="12"/>
        <v>3.2508591065292096</v>
      </c>
      <c r="E131" s="74">
        <f t="shared" si="12"/>
        <v>0.45551493646012919</v>
      </c>
      <c r="F131" s="74">
        <f t="shared" si="12"/>
        <v>-0.27518841339537325</v>
      </c>
      <c r="G131" s="74">
        <f t="shared" si="12"/>
        <v>-3.5126899881553486E-3</v>
      </c>
      <c r="H131" s="34"/>
      <c r="I131" s="73">
        <f t="shared" ref="I131:L131" si="13">I160/H160-1</f>
        <v>0.17712468412719296</v>
      </c>
      <c r="J131" s="74">
        <f t="shared" si="13"/>
        <v>7.9947815295437152E-2</v>
      </c>
      <c r="K131" s="74">
        <f t="shared" si="13"/>
        <v>7.9434274365512536E-2</v>
      </c>
      <c r="L131" s="75">
        <f t="shared" si="13"/>
        <v>8.6223341912852636E-2</v>
      </c>
      <c r="M131" s="15"/>
      <c r="N131" s="15"/>
      <c r="O131" s="15"/>
    </row>
    <row r="132" spans="1:15" ht="21.95" customHeight="1" x14ac:dyDescent="0.25">
      <c r="A132" s="15"/>
      <c r="B132" s="69" t="s">
        <v>35</v>
      </c>
      <c r="C132" s="73">
        <f t="shared" ref="C132:G133" si="14">D162/C162-1</f>
        <v>-0.86821912814421953</v>
      </c>
      <c r="D132" s="74">
        <f t="shared" si="14"/>
        <v>5.5143558282208591</v>
      </c>
      <c r="E132" s="74">
        <f t="shared" si="14"/>
        <v>0.3371608802558852</v>
      </c>
      <c r="F132" s="74">
        <f t="shared" si="14"/>
        <v>-0.32934315766828282</v>
      </c>
      <c r="G132" s="76">
        <f t="shared" si="14"/>
        <v>-0.27725078666788872</v>
      </c>
      <c r="H132" s="34"/>
      <c r="I132" s="73">
        <f t="shared" ref="I132:L133" si="15">I162/H162-1</f>
        <v>0.30623157316312843</v>
      </c>
      <c r="J132" s="74">
        <f t="shared" si="15"/>
        <v>0.24945797265593406</v>
      </c>
      <c r="K132" s="74">
        <f t="shared" si="15"/>
        <v>7.8972841552521711E-2</v>
      </c>
      <c r="L132" s="77">
        <f t="shared" si="15"/>
        <v>9.9446419730861102E-2</v>
      </c>
      <c r="M132" s="15"/>
      <c r="N132" s="15"/>
      <c r="O132" s="15"/>
    </row>
    <row r="133" spans="1:15" ht="21.95" customHeight="1" x14ac:dyDescent="0.25">
      <c r="A133" s="15"/>
      <c r="B133" s="78" t="s">
        <v>75</v>
      </c>
      <c r="C133" s="79">
        <f t="shared" si="14"/>
        <v>2.5301892460198254</v>
      </c>
      <c r="D133" s="80">
        <f t="shared" si="14"/>
        <v>9.8281143635125856E-2</v>
      </c>
      <c r="E133" s="80">
        <f t="shared" si="14"/>
        <v>0.31756927765295329</v>
      </c>
      <c r="F133" s="81">
        <f t="shared" si="14"/>
        <v>0.23103007589537716</v>
      </c>
      <c r="G133" s="82">
        <f t="shared" si="14"/>
        <v>-6.0540537097837466E-2</v>
      </c>
      <c r="H133" s="35"/>
      <c r="I133" s="79">
        <f t="shared" si="15"/>
        <v>7.9573573777160123E-2</v>
      </c>
      <c r="J133" s="80">
        <f t="shared" si="15"/>
        <v>7.8917374444636312E-2</v>
      </c>
      <c r="K133" s="81">
        <f t="shared" si="15"/>
        <v>7.83600441186314E-2</v>
      </c>
      <c r="L133" s="83">
        <f t="shared" si="15"/>
        <v>6.7219905814408509E-2</v>
      </c>
      <c r="M133" s="15"/>
      <c r="N133" s="15"/>
      <c r="O133" s="15"/>
    </row>
    <row r="134" spans="1:15" ht="15.9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1:15" ht="14.1" customHeight="1" x14ac:dyDescent="0.25">
      <c r="A135" s="15"/>
      <c r="B135" s="91" t="s">
        <v>63</v>
      </c>
      <c r="C135" s="92" cm="1">
        <f t="array" ref="C135">INDEX($C$144:$L$170, MATCH($C$97, $B$144:$B$170, 0), COLUMN()-2)</f>
        <v>22015.84</v>
      </c>
      <c r="D135" s="92" cm="1">
        <f t="array" ref="D135">INDEX($C$144:$L$170, MATCH($C$97, $B$144:$B$170, 0), COLUMN()-2)</f>
        <v>29481.29</v>
      </c>
      <c r="E135" s="92" cm="1">
        <f t="array" ref="E135">INDEX($C$144:$L$170, MATCH($C$97, $B$144:$B$170, 0), COLUMN()-2)</f>
        <v>34875.07</v>
      </c>
      <c r="F135" s="92" cm="1">
        <f t="array" ref="F135">INDEX($C$144:$L$170, MATCH($C$97, $B$144:$B$170, 0), COLUMN()-2)</f>
        <v>36182.69</v>
      </c>
      <c r="G135" s="92" cm="1">
        <f t="array" ref="G135">INDEX($C$144:$L$170, MATCH($C$97, $B$144:$B$170, 0), COLUMN()-2)</f>
        <v>34478.230000000003</v>
      </c>
      <c r="H135" s="92" cm="1">
        <f t="array" ref="H135">INDEX($C$144:$L$170, MATCH($C$97, $B$144:$B$170, 0), COLUMN()-2)</f>
        <v>36539.96</v>
      </c>
      <c r="I135" s="92" cm="1">
        <f t="array" ref="I135">INDEX($C$144:$L$170, MATCH($C$97, $B$144:$B$170, 0), COLUMN()-2)</f>
        <v>39465.15</v>
      </c>
      <c r="J135" s="92" cm="1">
        <f t="array" ref="J135">INDEX($C$144:$L$170, MATCH($C$97, $B$144:$B$170, 0), COLUMN()-2)</f>
        <v>42620.37</v>
      </c>
      <c r="K135" s="92" cm="1">
        <f t="array" ref="K135">INDEX($C$144:$L$170, MATCH($C$97, $B$144:$B$170, 0), COLUMN()-2)</f>
        <v>46024</v>
      </c>
      <c r="L135" s="92" cm="1">
        <f t="array" ref="L135">INDEX($C$144:$L$170, MATCH($C$97, $B$144:$B$170, 0), COLUMN()-2)</f>
        <v>49243.18</v>
      </c>
      <c r="M135" s="15"/>
      <c r="N135" s="15"/>
      <c r="O135" s="15"/>
    </row>
    <row r="136" spans="1:15" ht="8.1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1:15" ht="8.1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1:15" ht="8.1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1:15" ht="8.1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1:15" x14ac:dyDescent="0.25">
      <c r="A140" s="15"/>
      <c r="B140" s="93" t="s">
        <v>53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5"/>
    </row>
    <row r="141" spans="1:15" outlineLevel="1" x14ac:dyDescent="0.25"/>
    <row r="142" spans="1:15" outlineLevel="1" x14ac:dyDescent="0.25">
      <c r="B142" s="94" t="s">
        <v>7</v>
      </c>
      <c r="C142" s="95">
        <f>MATCH($C$4,$C$145:$L$145,0)</f>
        <v>4</v>
      </c>
      <c r="D142" s="94" t="s">
        <v>8</v>
      </c>
      <c r="E142" s="95">
        <f>MATCH($J$4,$C$145:$L$145,0)</f>
        <v>10</v>
      </c>
    </row>
    <row r="143" spans="1:15" outlineLevel="1" x14ac:dyDescent="0.25"/>
    <row r="144" spans="1:15" outlineLevel="1" x14ac:dyDescent="0.25">
      <c r="B144" s="96" t="s">
        <v>9</v>
      </c>
      <c r="C144" s="97"/>
      <c r="D144" s="97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2:12" s="100" customFormat="1" ht="29.25" customHeight="1" outlineLevel="1" x14ac:dyDescent="0.25">
      <c r="B145" s="98" t="s">
        <v>10</v>
      </c>
      <c r="C145" s="99" t="s">
        <v>11</v>
      </c>
      <c r="D145" s="99" t="s">
        <v>12</v>
      </c>
      <c r="E145" s="99" t="s">
        <v>13</v>
      </c>
      <c r="F145" s="99" t="s">
        <v>14</v>
      </c>
      <c r="G145" s="99" t="s">
        <v>6</v>
      </c>
      <c r="H145" s="99" t="s">
        <v>15</v>
      </c>
      <c r="I145" s="99" t="s">
        <v>16</v>
      </c>
      <c r="J145" s="99" t="s">
        <v>17</v>
      </c>
      <c r="K145" s="99" t="s">
        <v>18</v>
      </c>
      <c r="L145" s="99" t="s">
        <v>3</v>
      </c>
    </row>
    <row r="146" spans="2:12" outlineLevel="1" x14ac:dyDescent="0.25">
      <c r="B146" s="101" t="s">
        <v>19</v>
      </c>
      <c r="C146" s="102">
        <v>22015.84</v>
      </c>
      <c r="D146" s="102">
        <v>29481.29</v>
      </c>
      <c r="E146" s="102">
        <v>34875.07</v>
      </c>
      <c r="F146" s="102">
        <v>36182.69</v>
      </c>
      <c r="G146" s="102">
        <v>34478.230000000003</v>
      </c>
      <c r="H146" s="102">
        <v>36539.96</v>
      </c>
      <c r="I146" s="102">
        <v>39465.15</v>
      </c>
      <c r="J146" s="102">
        <v>42620.37</v>
      </c>
      <c r="K146" s="102">
        <v>46024</v>
      </c>
      <c r="L146" s="102">
        <v>49243.18</v>
      </c>
    </row>
    <row r="147" spans="2:12" outlineLevel="1" x14ac:dyDescent="0.25">
      <c r="B147" s="101" t="s">
        <v>20</v>
      </c>
      <c r="C147" s="103"/>
      <c r="D147" s="103">
        <f t="shared" ref="D147:L147" si="16">D146/C146-1</f>
        <v>0.33909448833203726</v>
      </c>
      <c r="E147" s="103">
        <f t="shared" si="16"/>
        <v>0.18295603754109813</v>
      </c>
      <c r="F147" s="103">
        <f t="shared" si="16"/>
        <v>3.7494405029151245E-2</v>
      </c>
      <c r="G147" s="103">
        <f t="shared" si="16"/>
        <v>-4.7107055887773974E-2</v>
      </c>
      <c r="H147" s="103">
        <f t="shared" si="16"/>
        <v>5.9798023274396428E-2</v>
      </c>
      <c r="I147" s="103">
        <f t="shared" si="16"/>
        <v>8.0054548499779443E-2</v>
      </c>
      <c r="J147" s="103">
        <f t="shared" si="16"/>
        <v>7.9949525087323892E-2</v>
      </c>
      <c r="K147" s="103">
        <f t="shared" si="16"/>
        <v>7.985923163032127E-2</v>
      </c>
      <c r="L147" s="103">
        <f t="shared" si="16"/>
        <v>6.9945680514514219E-2</v>
      </c>
    </row>
    <row r="148" spans="2:12" outlineLevel="1" x14ac:dyDescent="0.25">
      <c r="B148" s="101" t="s">
        <v>21</v>
      </c>
      <c r="C148" s="102">
        <v>5158.6499999999996</v>
      </c>
      <c r="D148" s="102">
        <v>5183.62</v>
      </c>
      <c r="E148" s="102">
        <v>6646.32</v>
      </c>
      <c r="F148" s="102">
        <v>8272.94</v>
      </c>
      <c r="G148" s="102">
        <v>6578.82</v>
      </c>
      <c r="H148" s="102">
        <v>6889.49</v>
      </c>
      <c r="I148" s="102">
        <v>7442.65</v>
      </c>
      <c r="J148" s="102">
        <v>8036.06</v>
      </c>
      <c r="K148" s="102">
        <v>8672.9500000000007</v>
      </c>
      <c r="L148" s="102">
        <v>9277.56</v>
      </c>
    </row>
    <row r="149" spans="2:12" outlineLevel="1" x14ac:dyDescent="0.25">
      <c r="B149" s="101" t="s">
        <v>22</v>
      </c>
      <c r="C149" s="103">
        <f t="shared" ref="C149:L149" si="17">C148/C146</f>
        <v>0.23431538383273132</v>
      </c>
      <c r="D149" s="103">
        <f t="shared" si="17"/>
        <v>0.17582744852752372</v>
      </c>
      <c r="E149" s="103">
        <f t="shared" si="17"/>
        <v>0.19057510135463526</v>
      </c>
      <c r="F149" s="103">
        <f t="shared" si="17"/>
        <v>0.22864358620102596</v>
      </c>
      <c r="G149" s="103">
        <f t="shared" si="17"/>
        <v>0.19081083918751046</v>
      </c>
      <c r="H149" s="103">
        <f t="shared" si="17"/>
        <v>0.18854673075723127</v>
      </c>
      <c r="I149" s="103">
        <f t="shared" si="17"/>
        <v>0.18858790603861886</v>
      </c>
      <c r="J149" s="103">
        <f t="shared" si="17"/>
        <v>0.18854974745643927</v>
      </c>
      <c r="K149" s="103">
        <f t="shared" si="17"/>
        <v>0.18844407265774379</v>
      </c>
      <c r="L149" s="103">
        <f t="shared" si="17"/>
        <v>0.18840294229576562</v>
      </c>
    </row>
    <row r="150" spans="2:12" outlineLevel="1" x14ac:dyDescent="0.25">
      <c r="B150" s="101" t="s">
        <v>23</v>
      </c>
      <c r="C150" s="102">
        <v>4367.38</v>
      </c>
      <c r="D150" s="102">
        <v>4367.26</v>
      </c>
      <c r="E150" s="102">
        <v>5788.3</v>
      </c>
      <c r="F150" s="102">
        <v>7419.94</v>
      </c>
      <c r="G150" s="102">
        <v>5552.48</v>
      </c>
      <c r="H150" s="102">
        <v>5781.05</v>
      </c>
      <c r="I150" s="102">
        <v>6245.53</v>
      </c>
      <c r="J150" s="102">
        <v>6743.17</v>
      </c>
      <c r="K150" s="102">
        <v>7276.62</v>
      </c>
      <c r="L150" s="102">
        <v>7769.53</v>
      </c>
    </row>
    <row r="151" spans="2:12" outlineLevel="1" x14ac:dyDescent="0.25">
      <c r="B151" s="101" t="s">
        <v>24</v>
      </c>
      <c r="C151" s="103">
        <f t="shared" ref="C151:L151" si="18">C150/C146</f>
        <v>0.19837444312822042</v>
      </c>
      <c r="D151" s="103">
        <f t="shared" si="18"/>
        <v>0.14813666566150938</v>
      </c>
      <c r="E151" s="103">
        <f t="shared" si="18"/>
        <v>0.16597242672201087</v>
      </c>
      <c r="F151" s="103">
        <f t="shared" si="18"/>
        <v>0.2050687773628771</v>
      </c>
      <c r="G151" s="103">
        <f t="shared" si="18"/>
        <v>0.16104306978635502</v>
      </c>
      <c r="H151" s="103">
        <f t="shared" si="18"/>
        <v>0.15821172218031987</v>
      </c>
      <c r="I151" s="103">
        <f t="shared" si="18"/>
        <v>0.15825430791470449</v>
      </c>
      <c r="J151" s="103">
        <f t="shared" si="18"/>
        <v>0.15821472220912206</v>
      </c>
      <c r="K151" s="103">
        <f t="shared" si="18"/>
        <v>0.15810490179037023</v>
      </c>
      <c r="L151" s="103">
        <f t="shared" si="18"/>
        <v>0.15777880307486233</v>
      </c>
    </row>
    <row r="152" spans="2:12" outlineLevel="1" x14ac:dyDescent="0.25">
      <c r="B152" s="101" t="s">
        <v>25</v>
      </c>
      <c r="C152" s="102">
        <v>3206.75</v>
      </c>
      <c r="D152" s="102">
        <v>3084.81</v>
      </c>
      <c r="E152" s="102">
        <v>4195.33</v>
      </c>
      <c r="F152" s="102">
        <v>5557.69</v>
      </c>
      <c r="G152" s="102">
        <v>3709.71</v>
      </c>
      <c r="H152" s="102">
        <v>4214.43</v>
      </c>
      <c r="I152" s="102">
        <v>4549.79</v>
      </c>
      <c r="J152" s="102">
        <v>4908.8500000000004</v>
      </c>
      <c r="K152" s="102">
        <v>5293.5</v>
      </c>
      <c r="L152" s="102">
        <v>5649.33</v>
      </c>
    </row>
    <row r="153" spans="2:12" outlineLevel="1" x14ac:dyDescent="0.25">
      <c r="B153" s="101" t="s">
        <v>26</v>
      </c>
      <c r="C153" s="103">
        <f t="shared" ref="C153:L153" si="19">C152/C146</f>
        <v>0.14565649096287037</v>
      </c>
      <c r="D153" s="103">
        <f t="shared" si="19"/>
        <v>0.1046361946848323</v>
      </c>
      <c r="E153" s="103">
        <f t="shared" si="19"/>
        <v>0.12029595926259072</v>
      </c>
      <c r="F153" s="103">
        <f t="shared" si="19"/>
        <v>0.15360079640292082</v>
      </c>
      <c r="G153" s="103">
        <f t="shared" si="19"/>
        <v>0.1075957205459793</v>
      </c>
      <c r="H153" s="103">
        <f t="shared" si="19"/>
        <v>0.1153375646826105</v>
      </c>
      <c r="I153" s="103">
        <f t="shared" si="19"/>
        <v>0.11528627155857762</v>
      </c>
      <c r="J153" s="103">
        <f t="shared" si="19"/>
        <v>0.11517614699262348</v>
      </c>
      <c r="K153" s="103">
        <f t="shared" si="19"/>
        <v>0.11501607856770381</v>
      </c>
      <c r="L153" s="103">
        <f t="shared" si="19"/>
        <v>0.11472309464985811</v>
      </c>
    </row>
    <row r="154" spans="2:12" outlineLevel="1" x14ac:dyDescent="0.25">
      <c r="B154" s="101" t="s">
        <v>27</v>
      </c>
      <c r="C154" s="104">
        <v>20369.62</v>
      </c>
      <c r="D154" s="104">
        <v>22984.45</v>
      </c>
      <c r="E154" s="104">
        <v>25798</v>
      </c>
      <c r="F154" s="104">
        <v>29924.09</v>
      </c>
      <c r="G154" s="104">
        <v>30371.37</v>
      </c>
      <c r="H154" s="104">
        <v>31887.77</v>
      </c>
      <c r="I154" s="104">
        <v>33580.71</v>
      </c>
      <c r="J154" s="104">
        <v>35407.61</v>
      </c>
      <c r="K154" s="104">
        <v>37378.25</v>
      </c>
      <c r="L154" s="104">
        <v>39434.589999999997</v>
      </c>
    </row>
    <row r="155" spans="2:12" outlineLevel="1" x14ac:dyDescent="0.25">
      <c r="B155" s="101" t="s">
        <v>28</v>
      </c>
      <c r="C155" s="104">
        <v>13229.15</v>
      </c>
      <c r="D155" s="104">
        <v>14199.09</v>
      </c>
      <c r="E155" s="104">
        <v>16445.89</v>
      </c>
      <c r="F155" s="104">
        <v>19423.68</v>
      </c>
      <c r="G155" s="104">
        <v>20059.05</v>
      </c>
      <c r="H155" s="104">
        <v>21323.38</v>
      </c>
      <c r="I155" s="104">
        <v>22688.32</v>
      </c>
      <c r="J155" s="104">
        <v>24160.97</v>
      </c>
      <c r="K155" s="104">
        <v>25749.02</v>
      </c>
      <c r="L155" s="104">
        <v>27443.82</v>
      </c>
    </row>
    <row r="156" spans="2:12" outlineLevel="1" x14ac:dyDescent="0.25">
      <c r="B156" s="101" t="s">
        <v>29</v>
      </c>
      <c r="C156" s="102">
        <v>340.23</v>
      </c>
      <c r="D156" s="102">
        <v>775.66</v>
      </c>
      <c r="E156" s="102">
        <v>972.21</v>
      </c>
      <c r="F156" s="102">
        <v>1107.1400000000001</v>
      </c>
      <c r="G156" s="102">
        <v>863.75</v>
      </c>
      <c r="H156" s="102">
        <v>863.75</v>
      </c>
      <c r="I156" s="102">
        <v>863.75</v>
      </c>
      <c r="J156" s="102">
        <v>863.75</v>
      </c>
      <c r="K156" s="102">
        <v>863.75</v>
      </c>
      <c r="L156" s="102">
        <v>863.75</v>
      </c>
    </row>
    <row r="157" spans="2:12" outlineLevel="1" x14ac:dyDescent="0.25">
      <c r="B157" s="101" t="s">
        <v>30</v>
      </c>
      <c r="C157" s="102">
        <v>346.39</v>
      </c>
      <c r="D157" s="102">
        <v>621.72</v>
      </c>
      <c r="E157" s="102">
        <v>523.1</v>
      </c>
      <c r="F157" s="102">
        <v>829.34</v>
      </c>
      <c r="G157" s="102">
        <v>445.28</v>
      </c>
      <c r="H157" s="102">
        <v>-845.81</v>
      </c>
      <c r="I157" s="102">
        <v>-1810.77</v>
      </c>
      <c r="J157" s="102">
        <v>-2430.54</v>
      </c>
      <c r="K157" s="102">
        <v>-3097.42</v>
      </c>
      <c r="L157" s="102">
        <v>-3702.54</v>
      </c>
    </row>
    <row r="158" spans="2:12" outlineLevel="1" x14ac:dyDescent="0.25">
      <c r="B158" s="101" t="s">
        <v>31</v>
      </c>
      <c r="C158" s="102">
        <v>-6.16</v>
      </c>
      <c r="D158" s="102">
        <v>153.94</v>
      </c>
      <c r="E158" s="102">
        <v>449.11</v>
      </c>
      <c r="F158" s="102">
        <v>277.8</v>
      </c>
      <c r="G158" s="102">
        <v>418.47</v>
      </c>
      <c r="H158" s="102">
        <v>1709.56</v>
      </c>
      <c r="I158" s="102">
        <v>2674.52</v>
      </c>
      <c r="J158" s="102">
        <v>3294.29</v>
      </c>
      <c r="K158" s="102">
        <v>3961.17</v>
      </c>
      <c r="L158" s="102">
        <v>4566.29</v>
      </c>
    </row>
    <row r="159" spans="2:12" outlineLevel="1" x14ac:dyDescent="0.25">
      <c r="B159" s="101" t="s">
        <v>32</v>
      </c>
      <c r="C159" s="103">
        <f t="shared" ref="C159:L159" si="20">C158/C155</f>
        <v>-4.6563838190662291E-4</v>
      </c>
      <c r="D159" s="103">
        <f t="shared" si="20"/>
        <v>1.0841539845159091E-2</v>
      </c>
      <c r="E159" s="103">
        <f t="shared" si="20"/>
        <v>2.7308342692307929E-2</v>
      </c>
      <c r="F159" s="103">
        <f t="shared" si="20"/>
        <v>1.4302130183363812E-2</v>
      </c>
      <c r="G159" s="103">
        <f t="shared" si="20"/>
        <v>2.0861905224823712E-2</v>
      </c>
      <c r="H159" s="103">
        <f t="shared" si="20"/>
        <v>8.0173030729649791E-2</v>
      </c>
      <c r="I159" s="103">
        <f t="shared" si="20"/>
        <v>0.11788091846377344</v>
      </c>
      <c r="J159" s="103">
        <f t="shared" si="20"/>
        <v>0.13634758869366584</v>
      </c>
      <c r="K159" s="103">
        <f t="shared" si="20"/>
        <v>0.15383769945419282</v>
      </c>
      <c r="L159" s="103">
        <f t="shared" si="20"/>
        <v>0.16638682224267612</v>
      </c>
    </row>
    <row r="160" spans="2:12" outlineLevel="1" x14ac:dyDescent="0.25">
      <c r="B160" s="101" t="s">
        <v>33</v>
      </c>
      <c r="C160" s="102">
        <v>3683.35</v>
      </c>
      <c r="D160" s="102">
        <v>986.49</v>
      </c>
      <c r="E160" s="102">
        <v>4193.43</v>
      </c>
      <c r="F160" s="102">
        <v>6103.6</v>
      </c>
      <c r="G160" s="102">
        <v>4423.96</v>
      </c>
      <c r="H160" s="102">
        <v>4408.42</v>
      </c>
      <c r="I160" s="102">
        <v>5189.26</v>
      </c>
      <c r="J160" s="102">
        <v>5604.13</v>
      </c>
      <c r="K160" s="102">
        <v>6049.29</v>
      </c>
      <c r="L160" s="102">
        <v>6570.88</v>
      </c>
    </row>
    <row r="161" spans="2:12" outlineLevel="1" x14ac:dyDescent="0.25">
      <c r="B161" s="101" t="s">
        <v>34</v>
      </c>
      <c r="C161" s="102">
        <v>281.87</v>
      </c>
      <c r="D161" s="102">
        <v>538.24</v>
      </c>
      <c r="E161" s="102">
        <v>1273.3699999999999</v>
      </c>
      <c r="F161" s="102">
        <v>2199.0100000000002</v>
      </c>
      <c r="G161" s="102">
        <v>1805.32</v>
      </c>
      <c r="H161" s="102">
        <v>2515.8000000000002</v>
      </c>
      <c r="I161" s="102">
        <v>2717.06</v>
      </c>
      <c r="J161" s="102">
        <v>2515.2199999999998</v>
      </c>
      <c r="K161" s="102">
        <v>2716.44</v>
      </c>
      <c r="L161" s="102">
        <v>2906.59</v>
      </c>
    </row>
    <row r="162" spans="2:12" outlineLevel="1" x14ac:dyDescent="0.25">
      <c r="B162" s="101" t="s">
        <v>35</v>
      </c>
      <c r="C162" s="102">
        <v>3401.48</v>
      </c>
      <c r="D162" s="102">
        <v>448.25</v>
      </c>
      <c r="E162" s="102">
        <v>2920.06</v>
      </c>
      <c r="F162" s="102">
        <v>3904.59</v>
      </c>
      <c r="G162" s="102">
        <v>2618.64</v>
      </c>
      <c r="H162" s="102">
        <v>1892.62</v>
      </c>
      <c r="I162" s="102">
        <v>2472.1999999999998</v>
      </c>
      <c r="J162" s="102">
        <v>3088.91</v>
      </c>
      <c r="K162" s="102">
        <v>3332.85</v>
      </c>
      <c r="L162" s="102">
        <v>3664.29</v>
      </c>
    </row>
    <row r="163" spans="2:12" outlineLevel="1" x14ac:dyDescent="0.25">
      <c r="B163" s="101" t="s">
        <v>36</v>
      </c>
      <c r="C163" s="102">
        <v>499.35</v>
      </c>
      <c r="D163" s="102">
        <v>1762.8</v>
      </c>
      <c r="E163" s="102">
        <v>1936.05</v>
      </c>
      <c r="F163" s="102">
        <v>2550.88</v>
      </c>
      <c r="G163" s="102">
        <v>3140.21</v>
      </c>
      <c r="H163" s="102">
        <v>2950.1</v>
      </c>
      <c r="I163" s="102">
        <v>3184.85</v>
      </c>
      <c r="J163" s="102">
        <v>3436.19</v>
      </c>
      <c r="K163" s="102">
        <v>3705.45</v>
      </c>
      <c r="L163" s="102">
        <v>3954.53</v>
      </c>
    </row>
    <row r="164" spans="2:12" outlineLevel="1" x14ac:dyDescent="0.25">
      <c r="B164" s="101" t="s">
        <v>37</v>
      </c>
      <c r="C164" s="103">
        <v>0.24</v>
      </c>
      <c r="D164" s="103">
        <v>0.22</v>
      </c>
      <c r="E164" s="103">
        <v>0.26</v>
      </c>
      <c r="F164" s="103">
        <v>0.28999999999999998</v>
      </c>
      <c r="G164" s="103">
        <v>0.18</v>
      </c>
      <c r="H164" s="103">
        <v>0.2</v>
      </c>
      <c r="I164" s="103">
        <v>0.2</v>
      </c>
      <c r="J164" s="103">
        <v>0.2</v>
      </c>
      <c r="K164" s="103">
        <v>0.21</v>
      </c>
      <c r="L164" s="103">
        <v>0.21</v>
      </c>
    </row>
    <row r="165" spans="2:12" outlineLevel="1" x14ac:dyDescent="0.25">
      <c r="B165" s="101" t="s">
        <v>38</v>
      </c>
      <c r="C165" s="103">
        <v>0.16</v>
      </c>
      <c r="D165" s="103">
        <v>0.13</v>
      </c>
      <c r="E165" s="103">
        <v>0.16</v>
      </c>
      <c r="F165" s="103">
        <v>0.19</v>
      </c>
      <c r="G165" s="103">
        <v>0.12</v>
      </c>
      <c r="H165" s="103">
        <v>0.13</v>
      </c>
      <c r="I165" s="103">
        <v>0.14000000000000001</v>
      </c>
      <c r="J165" s="103">
        <v>0.14000000000000001</v>
      </c>
      <c r="K165" s="103">
        <v>0.14000000000000001</v>
      </c>
      <c r="L165" s="103">
        <v>0.14000000000000001</v>
      </c>
    </row>
    <row r="166" spans="2:12" outlineLevel="1" x14ac:dyDescent="0.25">
      <c r="B166" s="101" t="s">
        <v>39</v>
      </c>
      <c r="C166" s="103">
        <v>0.32</v>
      </c>
      <c r="D166" s="103">
        <v>0.28999999999999998</v>
      </c>
      <c r="E166" s="103">
        <v>0.33</v>
      </c>
      <c r="F166" s="103">
        <v>0.36</v>
      </c>
      <c r="G166" s="103">
        <v>0.27</v>
      </c>
      <c r="H166" s="103">
        <v>0.26</v>
      </c>
      <c r="I166" s="103">
        <v>0.27</v>
      </c>
      <c r="J166" s="103">
        <v>0.27</v>
      </c>
      <c r="K166" s="103">
        <v>0.27</v>
      </c>
      <c r="L166" s="103">
        <v>0.27</v>
      </c>
    </row>
    <row r="167" spans="2:12" outlineLevel="1" x14ac:dyDescent="0.25">
      <c r="B167" s="101" t="s">
        <v>40</v>
      </c>
      <c r="C167" s="103">
        <v>0.25</v>
      </c>
      <c r="D167" s="103">
        <v>0.26</v>
      </c>
      <c r="E167" s="103">
        <v>0.26</v>
      </c>
      <c r="F167" s="103">
        <v>0.24</v>
      </c>
      <c r="G167" s="103">
        <v>0.27</v>
      </c>
      <c r="H167" s="103">
        <v>0.26</v>
      </c>
      <c r="I167" s="103">
        <v>0.26</v>
      </c>
      <c r="J167" s="103">
        <v>0.26</v>
      </c>
      <c r="K167" s="103">
        <v>0.26</v>
      </c>
      <c r="L167" s="103">
        <v>0.26</v>
      </c>
    </row>
    <row r="168" spans="2:12" outlineLevel="1" x14ac:dyDescent="0.25">
      <c r="B168" s="101" t="s">
        <v>41</v>
      </c>
      <c r="C168" s="103">
        <f t="shared" ref="C168:L168" si="21">C160/C146</f>
        <v>0.16730454073067391</v>
      </c>
      <c r="D168" s="103">
        <f t="shared" si="21"/>
        <v>3.3461561553107075E-2</v>
      </c>
      <c r="E168" s="103">
        <f t="shared" si="21"/>
        <v>0.12024147908520327</v>
      </c>
      <c r="F168" s="103">
        <f t="shared" si="21"/>
        <v>0.16868839768408594</v>
      </c>
      <c r="G168" s="103">
        <f t="shared" si="21"/>
        <v>0.12831169117440192</v>
      </c>
      <c r="H168" s="103">
        <f t="shared" si="21"/>
        <v>0.12064654695845316</v>
      </c>
      <c r="I168" s="103">
        <f t="shared" si="21"/>
        <v>0.13148968140245254</v>
      </c>
      <c r="J168" s="103">
        <f t="shared" si="21"/>
        <v>0.13148947322606538</v>
      </c>
      <c r="K168" s="103">
        <f t="shared" si="21"/>
        <v>0.13143772814183904</v>
      </c>
      <c r="L168" s="103">
        <f t="shared" si="21"/>
        <v>0.13343736127520603</v>
      </c>
    </row>
    <row r="169" spans="2:12" outlineLevel="1" x14ac:dyDescent="0.25">
      <c r="B169" s="101" t="s">
        <v>42</v>
      </c>
      <c r="C169" s="105">
        <v>32.729999999999997</v>
      </c>
      <c r="D169" s="105">
        <v>31.59</v>
      </c>
      <c r="E169" s="105">
        <v>42.83</v>
      </c>
      <c r="F169" s="105">
        <v>56.95</v>
      </c>
      <c r="G169" s="105">
        <v>38.25</v>
      </c>
      <c r="H169" s="105">
        <v>43.43</v>
      </c>
      <c r="I169" s="105">
        <v>46.89</v>
      </c>
      <c r="J169" s="105">
        <v>50.59</v>
      </c>
      <c r="K169" s="105">
        <v>54.55</v>
      </c>
      <c r="L169" s="105">
        <v>58.22</v>
      </c>
    </row>
    <row r="170" spans="2:12" outlineLevel="1" x14ac:dyDescent="0.25">
      <c r="B170" s="101" t="s">
        <v>43</v>
      </c>
      <c r="C170" s="102">
        <v>133.51</v>
      </c>
      <c r="D170" s="102">
        <v>143.99</v>
      </c>
      <c r="E170" s="102">
        <v>166.72</v>
      </c>
      <c r="F170" s="102">
        <v>195.25</v>
      </c>
      <c r="G170" s="102">
        <v>202.25</v>
      </c>
      <c r="H170" s="102">
        <v>215.28</v>
      </c>
      <c r="I170" s="102">
        <v>229.35</v>
      </c>
      <c r="J170" s="102">
        <v>244.52</v>
      </c>
      <c r="K170" s="102">
        <v>260.89</v>
      </c>
      <c r="L170" s="102">
        <v>278.35000000000002</v>
      </c>
    </row>
    <row r="171" spans="2:12" outlineLevel="1" x14ac:dyDescent="0.25">
      <c r="B171" s="101" t="s">
        <v>44</v>
      </c>
      <c r="C171" s="105">
        <v>5.21</v>
      </c>
      <c r="D171" s="105">
        <v>18.38</v>
      </c>
      <c r="E171" s="105">
        <v>20.18</v>
      </c>
      <c r="F171" s="105">
        <v>26.59</v>
      </c>
      <c r="G171" s="105">
        <v>32.74</v>
      </c>
      <c r="H171" s="105">
        <v>30.76</v>
      </c>
      <c r="I171" s="105">
        <v>33.200000000000003</v>
      </c>
      <c r="J171" s="105">
        <v>35.82</v>
      </c>
      <c r="K171" s="105">
        <v>38.630000000000003</v>
      </c>
      <c r="L171" s="105">
        <v>41.23</v>
      </c>
    </row>
    <row r="172" spans="2:12" outlineLevel="1" x14ac:dyDescent="0.25">
      <c r="B172" s="101" t="s">
        <v>45</v>
      </c>
      <c r="C172" s="105">
        <v>95.92</v>
      </c>
      <c r="D172" s="105">
        <v>95.92</v>
      </c>
      <c r="E172" s="105">
        <v>95.92</v>
      </c>
      <c r="F172" s="105">
        <v>95.92</v>
      </c>
      <c r="G172" s="105">
        <v>95.92</v>
      </c>
      <c r="H172" s="105">
        <v>95.92</v>
      </c>
      <c r="I172" s="105">
        <v>95.92</v>
      </c>
      <c r="J172" s="105">
        <v>95.92</v>
      </c>
      <c r="K172" s="105">
        <v>95.92</v>
      </c>
      <c r="L172" s="105">
        <v>95.92</v>
      </c>
    </row>
    <row r="173" spans="2:12" outlineLevel="1" x14ac:dyDescent="0.25"/>
    <row r="174" spans="2:12" outlineLevel="1" x14ac:dyDescent="0.25"/>
    <row r="175" spans="2:12" outlineLevel="1" x14ac:dyDescent="0.25"/>
  </sheetData>
  <mergeCells count="2">
    <mergeCell ref="B1:E1"/>
    <mergeCell ref="B2:F2"/>
  </mergeCells>
  <conditionalFormatting sqref="C124:G133">
    <cfRule type="colorScale" priority="1">
      <colorScale>
        <cfvo type="min"/>
        <cfvo type="percentile" val="50"/>
        <cfvo type="max"/>
        <color rgb="FFFCA5A5"/>
        <color rgb="FFFFFFFF"/>
        <color rgb="FF86EFAC"/>
      </colorScale>
    </cfRule>
  </conditionalFormatting>
  <conditionalFormatting sqref="I124:L133">
    <cfRule type="colorScale" priority="2">
      <colorScale>
        <cfvo type="min"/>
        <cfvo type="percentile" val="50"/>
        <cfvo type="max"/>
        <color rgb="FFFCA5A5"/>
        <color rgb="FFFFFFFF"/>
        <color rgb="FF86EFAC"/>
      </colorScale>
    </cfRule>
  </conditionalFormatting>
  <dataValidations count="3">
    <dataValidation type="list" allowBlank="1" showInputMessage="1" showErrorMessage="1" errorTitle="Invalid year" error="Please pick one of the listed years (FY2021–FY2030E)." promptTitle="Selected Year" prompt="Pick the focus year for KPI cards." sqref="C4" xr:uid="{C6F764B0-ED25-4ADA-9CFE-BB5330A68380}">
      <formula1>"FY2021,FY2022,FY2023,FY2024,FY2025,FY2026E,FY2027E,FY2028E,FY2029E,FY2030E"</formula1>
    </dataValidation>
    <dataValidation type="list" allowBlank="1" showInputMessage="1" showErrorMessage="1" errorTitle="Invalid year" error="Please pick one of the listed years (FY2021–FY2030E)." promptTitle="Compare-to Year" prompt="Pick the comparison baseline for the delta arrows." sqref="J4" xr:uid="{F59DCCC2-E8F1-4B3C-97A0-79A8D8874EAF}">
      <formula1>"FY2021,FY2022,FY2023,FY2024,FY2025,FY2026E,FY2027E,FY2028E,FY2029E,FY2030E"</formula1>
    </dataValidation>
    <dataValidation type="list" allowBlank="1" showInputMessage="1" showErrorMessage="1" errorTitle="Invalid metric" error="Please pick one of the listed metrics." promptTitle="Metric Explorer" prompt="Pick a metric to inspect its 10-year trajectory below." sqref="C97" xr:uid="{5CEDF94C-540E-4C1D-A16F-B13120BCB4BF}">
      <formula1>"Revenue,EBITDA,EBIT,PAT,Total Assets,Total Equity,Total Borrowings,Cash &amp; Equivalents,Net Debt,CFO,Capex (abs),FCF,Dividends (abs),EPS,BVPS,DPS,ROE,ROA,ROCE,Tax Rate,EBITDA Margin,EBIT Margin,PAT Margin,Net Debt / Equity,CFO / Revenue"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E9BF-187A-4AB2-B71F-A0270A245697}">
  <dimension ref="A96:O188"/>
  <sheetViews>
    <sheetView workbookViewId="0"/>
  </sheetViews>
  <sheetFormatPr defaultRowHeight="15.75" x14ac:dyDescent="0.25"/>
  <sheetData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129" spans="1:15" x14ac:dyDescent="0.25">
      <c r="A129" s="1"/>
      <c r="B129" s="1"/>
      <c r="C129" s="1"/>
      <c r="D129" s="1"/>
      <c r="E129" s="1"/>
      <c r="F129" s="1"/>
    </row>
    <row r="130" spans="1:15" x14ac:dyDescent="0.25">
      <c r="A130" s="1"/>
      <c r="B130" s="1"/>
      <c r="C130" s="1"/>
      <c r="D130" s="1"/>
      <c r="E130" s="1"/>
      <c r="F130" s="1"/>
    </row>
    <row r="131" spans="1:15" x14ac:dyDescent="0.25">
      <c r="A131" s="1"/>
      <c r="B131" s="1"/>
      <c r="C131" s="1"/>
      <c r="D131" s="1"/>
      <c r="E131" s="1"/>
      <c r="F131" s="1"/>
    </row>
    <row r="132" spans="1:15" x14ac:dyDescent="0.25">
      <c r="A132" s="1"/>
      <c r="B132" s="1"/>
      <c r="C132" s="1"/>
      <c r="D132" s="1"/>
      <c r="E132" s="1"/>
      <c r="F132" s="1"/>
    </row>
    <row r="133" spans="1:15" x14ac:dyDescent="0.25">
      <c r="A133" s="1"/>
      <c r="B133" s="1"/>
      <c r="C133" s="1"/>
      <c r="D133" s="1"/>
      <c r="E133" s="1"/>
      <c r="F133" s="1"/>
    </row>
    <row r="134" spans="1:15" x14ac:dyDescent="0.25">
      <c r="A134" s="1"/>
      <c r="B134" s="1"/>
      <c r="C134" s="1"/>
      <c r="D134" s="1"/>
      <c r="E134" s="1"/>
      <c r="F134" s="1"/>
    </row>
    <row r="135" spans="1:15" x14ac:dyDescent="0.25">
      <c r="A135" s="1"/>
      <c r="B135" s="1"/>
      <c r="C135" s="1"/>
      <c r="D135" s="1"/>
      <c r="E135" s="1"/>
      <c r="F135" s="1"/>
    </row>
    <row r="136" spans="1:15" x14ac:dyDescent="0.25">
      <c r="A136" s="1"/>
      <c r="B136" s="1"/>
      <c r="C136" s="1"/>
      <c r="D136" s="1"/>
      <c r="E136" s="1"/>
      <c r="F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5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spans="1:15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1:15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1:15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1:15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1:15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1:15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1:15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1:15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1:15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1:15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spans="1:15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spans="1:15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spans="1:15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spans="1:15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spans="1:15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spans="1:15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5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5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1:15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spans="1:15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spans="1:15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spans="1:15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1:15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1:15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1:15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1:15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1:15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1:15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spans="1:15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1:15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1:15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1:15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1:15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1:15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1:15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1:15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1:15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1:15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1:15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1:15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1:15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1:15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1:15" x14ac:dyDescent="0.25">
      <c r="A187" s="1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5"/>
    </row>
    <row r="188" spans="1:15" ht="28.5" x14ac:dyDescent="0.25">
      <c r="A188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Alam</dc:creator>
  <cp:lastModifiedBy>Amaan Alam</cp:lastModifiedBy>
  <dcterms:created xsi:type="dcterms:W3CDTF">2026-05-09T08:33:17Z</dcterms:created>
  <dcterms:modified xsi:type="dcterms:W3CDTF">2026-05-09T10:31:29Z</dcterms:modified>
</cp:coreProperties>
</file>